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TLOI\Downloads\"/>
    </mc:Choice>
  </mc:AlternateContent>
  <bookViews>
    <workbookView xWindow="0" yWindow="0" windowWidth="19200" windowHeight="8235"/>
  </bookViews>
  <sheets>
    <sheet name="DS BAN SP THANG 9" sheetId="1" r:id="rId1"/>
    <sheet name="HOA HỒNG ĐẶT HẸN MỤN" sheetId="2" r:id="rId2"/>
    <sheet name="HOA HỒNG LĂN KIM" sheetId="3" r:id="rId3"/>
    <sheet name="BẢNG TỔNG KẾT " sheetId="4" r:id="rId4"/>
    <sheet name="Sheet4" sheetId="10" r:id="rId5"/>
    <sheet name="Sheet5" sheetId="11" r:id="rId6"/>
  </sheets>
  <definedNames>
    <definedName name="_xlnm._FilterDatabase" localSheetId="0" hidden="1">'DS BAN SP THANG 9'!$B$2:$R$2</definedName>
    <definedName name="_xlnm._FilterDatabase" localSheetId="1" hidden="1">'HOA HỒNG ĐẶT HẸN MỤN'!$A$4:$J$4</definedName>
  </definedNames>
  <calcPr calcId="152511"/>
</workbook>
</file>

<file path=xl/calcChain.xml><?xml version="1.0" encoding="utf-8"?>
<calcChain xmlns="http://schemas.openxmlformats.org/spreadsheetml/2006/main">
  <c r="E8" i="4" l="1"/>
  <c r="I13" i="3" l="1"/>
  <c r="C18" i="3" s="1"/>
  <c r="C7" i="4" l="1"/>
  <c r="E18" i="3"/>
  <c r="H21" i="2"/>
  <c r="B26" i="2" s="1"/>
  <c r="J21" i="2"/>
  <c r="B27" i="2" s="1"/>
  <c r="D27" i="2" s="1"/>
  <c r="D26" i="2" l="1"/>
  <c r="C6" i="4"/>
  <c r="E6" i="4" s="1"/>
  <c r="Q86" i="1"/>
  <c r="D91" i="1" s="1"/>
  <c r="G86" i="1"/>
  <c r="D90" i="1" s="1"/>
  <c r="F90" i="1" s="1"/>
  <c r="E7" i="4" l="1"/>
  <c r="D5" i="4"/>
  <c r="F91" i="1"/>
  <c r="F92" i="1" s="1"/>
  <c r="D92" i="1" l="1"/>
  <c r="E5" i="4" s="1"/>
  <c r="E9" i="4" s="1"/>
  <c r="F1048246" i="1" l="1"/>
</calcChain>
</file>

<file path=xl/sharedStrings.xml><?xml version="1.0" encoding="utf-8"?>
<sst xmlns="http://schemas.openxmlformats.org/spreadsheetml/2006/main" count="492" uniqueCount="293">
  <si>
    <t>Họ và Tên</t>
  </si>
  <si>
    <t>Số Điện Thoại</t>
  </si>
  <si>
    <t>Lần 1</t>
  </si>
  <si>
    <t>Lần 2</t>
  </si>
  <si>
    <t>Lần 3</t>
  </si>
  <si>
    <t>Phạm Duy Hào</t>
  </si>
  <si>
    <t>0122 335 8597</t>
  </si>
  <si>
    <t>Nguyễn Thị Kim Khánh</t>
  </si>
  <si>
    <t>Huỳnh Ngọc Ánh</t>
  </si>
  <si>
    <t>Lê Văn Trung</t>
  </si>
  <si>
    <t>Nguyễn Thị Thanh Thư</t>
  </si>
  <si>
    <t>STT</t>
  </si>
  <si>
    <t>HOA HỒNG ĐẶT HẸN MỤN</t>
  </si>
  <si>
    <t>SỐ LƯỢNG</t>
  </si>
  <si>
    <t>ĐƠN GIÁ</t>
  </si>
  <si>
    <t>THÀNH TIỀN</t>
  </si>
  <si>
    <t>Ngày điều trị</t>
  </si>
  <si>
    <t>Họ và Tên KH</t>
  </si>
  <si>
    <t>SĐT</t>
  </si>
  <si>
    <t>Nguồn</t>
  </si>
  <si>
    <t>Lăn kim lần 1</t>
  </si>
  <si>
    <t>Lăn kim lần 2</t>
  </si>
  <si>
    <t>Lăn kim lần 3</t>
  </si>
  <si>
    <t>Nguyễn Thị Thùy Dương</t>
  </si>
  <si>
    <t>01286 215 752</t>
  </si>
  <si>
    <t>Long An</t>
  </si>
  <si>
    <t>zopim NTCTS</t>
  </si>
  <si>
    <t>Dương Quốc Thái</t>
  </si>
  <si>
    <t>093 8756 317</t>
  </si>
  <si>
    <t>Quận Bình Thạnh</t>
  </si>
  <si>
    <t>FB CTSRGTN</t>
  </si>
  <si>
    <t>Lê Thị Kiều Anh</t>
  </si>
  <si>
    <t>093 555 4071</t>
  </si>
  <si>
    <t>Zopim</t>
  </si>
  <si>
    <t>Nguyễn Thị Thu Hằng</t>
  </si>
  <si>
    <t>0164 686 3259</t>
  </si>
  <si>
    <t>DANH SÁCH KHÁCH HÀNG ĐẶT HẸN TỚI TRUNG TÂM LĂN KIM SẸO THÁNG 03</t>
  </si>
  <si>
    <t>HOA HỒNG ĐẶT HẸN LĂN KIM</t>
  </si>
  <si>
    <t>DANH SÁCH HÀNG TRẢ VỀ</t>
  </si>
  <si>
    <t>Họ Và Tên</t>
  </si>
  <si>
    <t>Sản Phẩm</t>
  </si>
  <si>
    <t>Đơn vị</t>
  </si>
  <si>
    <t>0906 419 305</t>
  </si>
  <si>
    <t>sẹo cam 10g</t>
  </si>
  <si>
    <t>0962 910 136</t>
  </si>
  <si>
    <t>sẹo cam 5g</t>
  </si>
  <si>
    <t>0120 637 5928</t>
  </si>
  <si>
    <t>Bộ Clarity</t>
  </si>
  <si>
    <t>Ngọc</t>
  </si>
  <si>
    <t>Trần Thiên Mã</t>
  </si>
  <si>
    <t>Lê Thị Tình</t>
  </si>
  <si>
    <t>Bộ Clarity +sẹo cam 20g</t>
  </si>
  <si>
    <t>NGÀY</t>
  </si>
  <si>
    <t>DANH SÁCH HÀNG GỬI ĐI</t>
  </si>
  <si>
    <t>ĐƠN VỊ</t>
  </si>
  <si>
    <t>HÀNG</t>
  </si>
  <si>
    <t>ĐƠN VỊ TÍNH</t>
  </si>
  <si>
    <t>GỬI ĐI (1)</t>
  </si>
  <si>
    <t>TRẢ VỀ (2)</t>
  </si>
  <si>
    <t>BÁN SẢN PHẨM</t>
  </si>
  <si>
    <t>ĐẶT HẸN MỤN</t>
  </si>
  <si>
    <t>ĐẶT HẸN LĂN KIM</t>
  </si>
  <si>
    <t>HẠNG MỤC</t>
  </si>
  <si>
    <t xml:space="preserve">TỔNG </t>
  </si>
  <si>
    <t>TS note 1</t>
  </si>
  <si>
    <t>TS note 3</t>
  </si>
  <si>
    <t>TS note 2</t>
  </si>
  <si>
    <t>TS note 4</t>
  </si>
  <si>
    <t>TS note 2. Kế toán báo ko giao đơn này</t>
  </si>
  <si>
    <t>TS note 5</t>
  </si>
  <si>
    <t xml:space="preserve">BẢNG TỔNG KẾT HOA HỒNG </t>
  </si>
  <si>
    <t xml:space="preserve">TỖNG </t>
  </si>
  <si>
    <t>X</t>
  </si>
  <si>
    <t>=4 +4</t>
  </si>
  <si>
    <t>A</t>
  </si>
  <si>
    <t>R</t>
  </si>
  <si>
    <t>SẢN PHẨM</t>
  </si>
  <si>
    <t>GHI CHÚ</t>
  </si>
  <si>
    <t>THỰC GỬI (3) =(1) - (2 )</t>
  </si>
  <si>
    <t>DANH SÁCH KHÁCH HÀNG ĐẶT HẸN TỚI TRUNG TÂM ĐIỀU TRỊ MỤN THÁNG 05</t>
  </si>
  <si>
    <t>8/5/2015 - CSD</t>
  </si>
  <si>
    <t>15/5/2015 - CSD</t>
  </si>
  <si>
    <t>Phan Thị Hồng Nho</t>
  </si>
  <si>
    <t>26/04/2015 - CSD</t>
  </si>
  <si>
    <t xml:space="preserve">8/5/2015 - CSD + Thuốc </t>
  </si>
  <si>
    <t>CHECK</t>
  </si>
  <si>
    <t>20/4/2015 - CSD+ sẹo cam 10g</t>
  </si>
  <si>
    <t>24/4/2015 - CSD+ OIL</t>
  </si>
  <si>
    <t xml:space="preserve">THEO DOI THEM </t>
  </si>
  <si>
    <t xml:space="preserve">3/5/2015 SRM + OIL </t>
  </si>
  <si>
    <t xml:space="preserve">10/05/15 CSD </t>
  </si>
  <si>
    <t>25/05/2015 BO Clarity + Thuoc + CSD</t>
  </si>
  <si>
    <t>20/4/2015 - CSD</t>
  </si>
  <si>
    <t>Nguyễn Thị Thanh</t>
  </si>
  <si>
    <t xml:space="preserve">20/4/2015 - CSD + Thuoc </t>
  </si>
  <si>
    <t xml:space="preserve">25/5/2015 - CSD + Thuoc </t>
  </si>
  <si>
    <t xml:space="preserve">28/5/2015 - CSD + Thuoc </t>
  </si>
  <si>
    <t xml:space="preserve"> Thuoc </t>
  </si>
  <si>
    <t>Nguyễn Thị Kim</t>
  </si>
  <si>
    <t>095118919</t>
  </si>
  <si>
    <t>096511899</t>
  </si>
  <si>
    <t xml:space="preserve">ĐƠN VỊ SALE
 TỰ CHECK </t>
  </si>
  <si>
    <t>DON VI 
Cty CHECK</t>
  </si>
  <si>
    <t xml:space="preserve">THANH TIEN </t>
  </si>
  <si>
    <t>serum lành sẹo+natri+vaseline tặng</t>
  </si>
  <si>
    <t>serum lành sẹo+natri+vaseline tặng + UV</t>
  </si>
  <si>
    <t>serum lành sẹo+natri+vaseline tặng + UV + Sẹo cam 20 g</t>
  </si>
  <si>
    <t>TỔNG</t>
  </si>
  <si>
    <t xml:space="preserve">ĐỊA CHỈ </t>
  </si>
  <si>
    <t xml:space="preserve">Địa chỉ </t>
  </si>
  <si>
    <t>25 Hoàng V Thụ - P10 -Q.Phú Nhuận</t>
  </si>
  <si>
    <t xml:space="preserve">255 Nguyễn Kiệm  - P4 -Q.Gò Vấp </t>
  </si>
  <si>
    <t>Địa chỉ</t>
  </si>
  <si>
    <t xml:space="preserve">P8 -Q Gò Vấp </t>
  </si>
  <si>
    <t>31/08/2015</t>
  </si>
  <si>
    <t xml:space="preserve">Thúy Vân </t>
  </si>
  <si>
    <t>Nhà văn hóa Từ Liêm ( nằm trên phố Võ Huy Huân), Hà Nội _ ( GCN)</t>
  </si>
  <si>
    <t>Rạn da lớn</t>
  </si>
  <si>
    <t>Nguyễn Thị Kim Huệ</t>
  </si>
  <si>
    <t>55/70 Phan đăng lưu, Pleiku, Gia Lai. ( GCN)</t>
  </si>
  <si>
    <t>0972 721 267</t>
  </si>
  <si>
    <t>Rạn da nhỏ</t>
  </si>
  <si>
    <t>Nguyễn Thanh Trà My</t>
  </si>
  <si>
    <t>Thôn Lương Đông, Xã Lương sơn, Huyện Bắc Bình, Bình Thuận.(GCN)</t>
  </si>
  <si>
    <t>Nguyệt</t>
  </si>
  <si>
    <t>28A/Đường số 6, Phường Thạnh Mỹ Lợi, quận 2.(GCN)</t>
  </si>
  <si>
    <t>Tâm</t>
  </si>
  <si>
    <t>110/25 Tô Hiệu, Phường Tân Hiệp, Quận Tân phú.(GCN_Giao gấp)</t>
  </si>
  <si>
    <t>SRM Papulex</t>
  </si>
  <si>
    <t>Ngô Thị Kim Ngân</t>
  </si>
  <si>
    <t>164A/Tổ 4, Thôn 5, Thị Trấn Cần Đước, Huyện Cần Đước, Tỉnh Long An.(GCN)</t>
  </si>
  <si>
    <t>Vũ Quỳnh Trang</t>
  </si>
  <si>
    <t>105 Đường Nguyễn Văn Trổi, Phường Năng Tĩnh, TP Nam Định. (GCN)</t>
  </si>
  <si>
    <t>Minh Tâm</t>
  </si>
  <si>
    <t>100/50 Ngô Gia Tự, Phường Tân An, Tp Buôn Ma Thuột. (GCN)</t>
  </si>
  <si>
    <t>Hoàng Thị Nga</t>
  </si>
  <si>
    <t>Nhà trọ Vu Hoàng 111, Thị trấn Đăk Tô, Kon Tum.(GCN)</t>
  </si>
  <si>
    <t>(Người Nhận) Duyên</t>
  </si>
  <si>
    <t>Xóm quại ,Xã Tân Đức, Huyện phú bình, Tỉnh thái nguyên. (Nhà Ông bà
Nga An) _ GCN</t>
  </si>
  <si>
    <t>Đặng Thị Kim Quy</t>
  </si>
  <si>
    <t>K140/22D Thanh Long, Quận Hải Châu, TP Đà Nẵng.(GCN)</t>
  </si>
  <si>
    <t>Trần Thị Băng Châu</t>
  </si>
  <si>
    <t>113/43/5A/Võ Duy Ninh, Phường 22, Bình thạnh (GCN)</t>
  </si>
  <si>
    <t>Phạm Thị Sinh</t>
  </si>
  <si>
    <t>Thôn Xuân Sơn, Xã Thúy Sơn, Huyện Ngọc Lặc, Thanh Hoá (GCN)</t>
  </si>
  <si>
    <t>Danh Sạm hoặc
Thị Nhật( VỢ)</t>
  </si>
  <si>
    <t>Ấp 3, Xã Xà Phiên, Huyện Long Mỹ, Hậu Giang (GCN)</t>
  </si>
  <si>
    <t>Clarity MD</t>
  </si>
  <si>
    <t>Xuân</t>
  </si>
  <si>
    <t>Số 1900, Khu Phố 2, Phường Trung Mỹ Tây, Quận 12 ( Bãi đậu xe Ngọc A Tỷ) _GCN</t>
  </si>
  <si>
    <t>Oil-Free Crem</t>
  </si>
  <si>
    <t>Tổ 30 khu phố thắng lợi, thị trấn tân phú, huyện đồng phú, tỉnh bình phước(nhà nghĩ phúc nguyên)_GCN</t>
  </si>
  <si>
    <t>Bưu Điên Phú Quốc ( đường 30/4 TT Dương Đông , huyện Phú Quốc )_GCN</t>
  </si>
  <si>
    <t>Nguyễn Quang Nhiên</t>
  </si>
  <si>
    <t>Lê Mỹ Hiệp</t>
  </si>
  <si>
    <t>Trịnh thị hiền</t>
  </si>
  <si>
    <t>Ngõ 28, Đường trần thái tông,cầu giấy, hà nội ( GCN)</t>
  </si>
  <si>
    <t>Bộ Papulex</t>
  </si>
  <si>
    <t xml:space="preserve">204 Trần Duy Hưng , Cầu giấy hà nội (GCN) 
</t>
  </si>
  <si>
    <t>Ấp 2, Xã Xuân Hưng, Xuân Lộc, Đồng nai. (GCN)</t>
  </si>
  <si>
    <t>Nguyễn Thị Phương Thùy</t>
  </si>
  <si>
    <t>Lương thị yến</t>
  </si>
  <si>
    <t>Phan Thị Liên</t>
  </si>
  <si>
    <t>Phan Huyền My</t>
  </si>
  <si>
    <t>Dung át -Ngô xá - Long Châu - yên phong -Bắc Ninh (GCN)</t>
  </si>
  <si>
    <t>Số 15, Ngõ 142/35 Đường Cổ Nhuế, Quận Bắc Từ Liêm, Hà Nội (GCN)</t>
  </si>
  <si>
    <t>Thảo</t>
  </si>
  <si>
    <t>Trần Thị Trang</t>
  </si>
  <si>
    <t>Kiều</t>
  </si>
  <si>
    <t>Số 7, Đường 12, Khu Công Nghiệp Sóng Thần 2, Thị Xã Dĩ An, Bình Dương (GCN)</t>
  </si>
  <si>
    <t>Số nhà 023, tổ 5, phường Quyết Tiến, Thành phố Lai Châu. (GCN)</t>
  </si>
  <si>
    <t xml:space="preserve">826. Hương lộ 2, bình trị đông A, Bình Tân (GCN) </t>
  </si>
  <si>
    <t>Papulex Lotion</t>
  </si>
  <si>
    <t>Sẹo cam 5g</t>
  </si>
  <si>
    <t>14/9/2015</t>
  </si>
  <si>
    <t>Quỳnh Anh</t>
  </si>
  <si>
    <t>Nguyễn Nhật Thăng</t>
  </si>
  <si>
    <t>Bưu điện Xã Bắc phú, Huyện Sốc Sơn, Hà Nội (GCN)</t>
  </si>
  <si>
    <t>Bưu điện Bình Khánh, Phà Khánh, Huyện Cần giờ (GCN)</t>
  </si>
  <si>
    <t>Tuấn</t>
  </si>
  <si>
    <t>Bối</t>
  </si>
  <si>
    <t>15/9/2015</t>
  </si>
  <si>
    <t>Ấp Long Thới, Xã Long An, Huyện Châu thành, Tỉnh Tiền Giang (GCN)</t>
  </si>
  <si>
    <t>87 Lê Văn sỹ phường 13, phú nhuận.( GCN)</t>
  </si>
  <si>
    <t>Sẹo cam 10g</t>
  </si>
  <si>
    <t>18/9/2015</t>
  </si>
  <si>
    <t>Nguyễn Văn Toàn</t>
  </si>
  <si>
    <t>Sang</t>
  </si>
  <si>
    <t>Chiến</t>
  </si>
  <si>
    <t>Kho Xăng Dầu Quân Đội, Đường Lê Duẩn, TP Tuy Hòa, Phú Yên (GCN)</t>
  </si>
  <si>
    <t>397 Hang Rơi, Tân Mỹ, Văn Lãng, Đồng Đăng, Lạng Sơn (GCN)</t>
  </si>
  <si>
    <t>Trung tâm bồi dưỡng nghiệp vụ cảnh sát. Đường 70, Xuân Phương, Phương Canh, 
Từ Liêm, Hà Nội (GCN)</t>
  </si>
  <si>
    <t>0984868625 hoặc 0978381733</t>
  </si>
  <si>
    <t>0919853771 hoặc 0966761249</t>
  </si>
  <si>
    <t>19/9/2015</t>
  </si>
  <si>
    <t>Quyên</t>
  </si>
  <si>
    <t>Đàm Kim Liên</t>
  </si>
  <si>
    <t>241, Điện Biên Phủ, Phường 6, Quận 3 ( Giao gấp trước 12h)</t>
  </si>
  <si>
    <t>Số nhà 148a, tổ 3, km5, phường Đề Thám, thành phố Cao Bằng, tỉnh Cao Bằng. (GCN)</t>
  </si>
  <si>
    <t>21/9/2015</t>
  </si>
  <si>
    <t>Kí Túc Xá Trường Học Viện Nông Nghiệp Hà Nội. (GCN)</t>
  </si>
  <si>
    <t>Xóm 6, Thị Trấn đầm dơi, huyện đầm dơi, Cà Mau (GCN)</t>
  </si>
  <si>
    <t>Phòng 4.5 tầng 5, nhà B, khu nhà ở sinh viên Vinh Trung, đường Phượng Hoàng, Phường Trung Đô, 
thành phố Vinh, Nghệ An (GCN)</t>
  </si>
  <si>
    <t>290/29/6 Nơ Trang Long,phường 12,quận Bình Thạnh,TPHCM</t>
  </si>
  <si>
    <t>NguyễN Thị Hợp</t>
  </si>
  <si>
    <t>Vũ thị Hằng</t>
  </si>
  <si>
    <t>Hạnh</t>
  </si>
  <si>
    <t>Đỗ Thu Hà</t>
  </si>
  <si>
    <t>Trang</t>
  </si>
  <si>
    <t>Khu 3 thôn 3 xã quảng chính, huyện hải hà, quảng ninh. (GCN)</t>
  </si>
  <si>
    <t>22/9/2015</t>
  </si>
  <si>
    <t>Thiện</t>
  </si>
  <si>
    <t>Kim Chi</t>
  </si>
  <si>
    <t>Trần Thi Ý</t>
  </si>
  <si>
    <t>Nguyễn Hải Triều</t>
  </si>
  <si>
    <t>Lê Thu Phương</t>
  </si>
  <si>
    <t>Bưu Chính Viettel, Đường Tôn Đức Thắng. Đối Diện Loteria
Phan Thiết_ Bình Thuận (GCN)</t>
  </si>
  <si>
    <t>Bưu Điện SóVen, xã Định An, Huyện Gò Quao, Tỉnh Kiên Giang. (GCN)</t>
  </si>
  <si>
    <t>Đội 3, thôn 3, xã Quảng Điền, Huyện Krông ana, Tỉnh daklak 
Nhà bà Bình (GCN)</t>
  </si>
  <si>
    <t>212, Lý Tự trọng, quận Hải Châu, Đà nẵng (GCN)</t>
  </si>
  <si>
    <t>34, Đại Từ, Hoàng Mai, Hà Nội (GCN)</t>
  </si>
  <si>
    <t>23/9/2015</t>
  </si>
  <si>
    <t>Cường</t>
  </si>
  <si>
    <t>Chi</t>
  </si>
  <si>
    <t>TRần Công Bình</t>
  </si>
  <si>
    <t>Lê Hoài Nhớ</t>
  </si>
  <si>
    <t>Nguyễn Ngọc Hiệp 
Trong hôm nay hoặc mai
(Giao từ 11h30-3h)
mới 
nhận được</t>
  </si>
  <si>
    <t>Nguyễn viết thuỵ</t>
  </si>
  <si>
    <t>Hoàng Thị Thu Huyền</t>
  </si>
  <si>
    <t>0906478027
099 350 6377</t>
  </si>
  <si>
    <t>Hóc môn ( tự đến LHP)</t>
  </si>
  <si>
    <t>127/47 D2 Âu Cơ, P.14, Q.11 (GCN).</t>
  </si>
  <si>
    <t>công ty TaeKwang vina. 
SỐ 8, đường 9A, khu công nghiệp Biên Hòa 2, Biên hòa, đồng nai (GCN)</t>
  </si>
  <si>
    <t>công ty TaeKwang vina.
SỐ 8, đường 9A, khu công nghiệp Biên Hòa 2, Biên hòa, đồng nai (GCN)</t>
  </si>
  <si>
    <t>ấp Hiệp Bình xã Mỹ Hiệp Sơn huyện Hòn Đất tỉnh Kiên Giang (GCN)</t>
  </si>
  <si>
    <t>189 Nguyễn Thị Minh Khai, Phường Phạm Ngũ Lão, Q1. (GCN)</t>
  </si>
  <si>
    <t>Quận Bắc Từ Liêm _ Nhà Văn Hóa Từ Liêm_Hà Nội. ( Gần trường ĐH công nghiệp HN)</t>
  </si>
  <si>
    <t>002 Lê Quý Đôn - Phường Cốc Lếu - TP Lào Cai. (GCN)</t>
  </si>
  <si>
    <t>Sẹo cam 20g</t>
  </si>
  <si>
    <t>24/9/2015</t>
  </si>
  <si>
    <t>Nguyễn minh ly</t>
  </si>
  <si>
    <t>Số nhà 29 đường số 4 quốc lộ 13,phường hiệp bình chánh, quận thủ Đức (GCN)</t>
  </si>
  <si>
    <t>Ngô Nguyễn Khánh Thư</t>
  </si>
  <si>
    <t>Đoàn Hải Triều</t>
  </si>
  <si>
    <t>Ngô Tuyết Nhung</t>
  </si>
  <si>
    <t>Trần Thị Hiền</t>
  </si>
  <si>
    <t>Cẩm Loan</t>
  </si>
  <si>
    <t>Đinh ánh hồng</t>
  </si>
  <si>
    <t>Tòa án nhân dân Huyện Tân Phú Đông. Ấp Tân Phú, xÃ Phú Thạnh, Huyện Tân Phú Đông
Tiền Giang ( GCN)</t>
  </si>
  <si>
    <t>Xã ngũ lão, Thủy Nguyên, Hải Phòng (GCN)</t>
  </si>
  <si>
    <t>736/2b, đường lâm quang ky, Khu phố 7, Tp rạch giá, Kiên Giang. (GCN)</t>
  </si>
  <si>
    <t>Bệnh viện nhi đồng, đồng nai, xa lộ hà nội, phường tân hiệp, biên hòa, đồng nai. (GCN)</t>
  </si>
  <si>
    <t>1074/10/8A,khu phố7,tỉnh lộ10,phườg tân tạo,q.bình tân (GCN)</t>
  </si>
  <si>
    <t>Ngân hàng chính sách xã hội tỉnh tuyên quang, phường minh xuân, tp tuyên quang tỉnh.
Tỉnh Tuyên Quang. (GCN)</t>
  </si>
  <si>
    <t>25/9/2015</t>
  </si>
  <si>
    <t>26/9/2015</t>
  </si>
  <si>
    <t>Đặng Duy Tính</t>
  </si>
  <si>
    <t>Cao Văn Định</t>
  </si>
  <si>
    <t>Đặng Thị Hương</t>
  </si>
  <si>
    <t>Đặng Thị Phương</t>
  </si>
  <si>
    <t>Phạm thị Dung</t>
  </si>
  <si>
    <t>01674881726 hoặc 0902586496</t>
  </si>
  <si>
    <t>Chợ lầu, Bắc Bình, Bình Thuận. (GCN)</t>
  </si>
  <si>
    <t>Công Ty Samsung yên bình, phổ yên, Thái Nguyên. (GCN)</t>
  </si>
  <si>
    <t>Làng chuyên gia Rybyland, Mỹ Phước 2, Bến Cát, Bình Dương (GCN)</t>
  </si>
  <si>
    <t>Xã mẫu sơn, huyện lộc bình, tỉnh lạng sơn (GCN)</t>
  </si>
  <si>
    <t>Lô B - Khu công nghiệp Lễ môn, Thành phố Thanh Hoá, Thanh Hoá. (GCN)</t>
  </si>
  <si>
    <t>28/9/2015</t>
  </si>
  <si>
    <t>Kim Ngân</t>
  </si>
  <si>
    <t>Đoàn Thị Giang</t>
  </si>
  <si>
    <t>Xuân Hùng</t>
  </si>
  <si>
    <t>Võ Thị Hà</t>
  </si>
  <si>
    <t>Phương</t>
  </si>
  <si>
    <t xml:space="preserve">0919853771 
</t>
  </si>
  <si>
    <t>Thâm quầng mắt</t>
  </si>
  <si>
    <t>168/60/Lê Thị Bạch Cát/ P11. quận 11. TPhcm (GCN)</t>
  </si>
  <si>
    <t>Ô 13, D19, Khu dân cư Việt Sing, An phú, Thuận An. Bình Dương (GCN)</t>
  </si>
  <si>
    <t>Trường Tiểu học Phú Hòa 1- Tp Thủ dầu một, tỉnh Bình Dương. (GCN)</t>
  </si>
  <si>
    <t>Cửa Nam chợ bến thành. (Gọi khách ra lấy). (GCN)</t>
  </si>
  <si>
    <t>Toà nhà ACB, 444A, CMT8, Quận 3. (GCN)</t>
  </si>
  <si>
    <t>18 An Dưong Vương, Phường 9, quận 5. Chợ An Đông Plaza. (GCN)</t>
  </si>
  <si>
    <t>29/9/2015</t>
  </si>
  <si>
    <t>Ma Thái Dư</t>
  </si>
  <si>
    <t>Như</t>
  </si>
  <si>
    <t>Nhi</t>
  </si>
  <si>
    <t>180/1/11, Phạm Phú Thứ, Phường 4. Q6 (GCN)</t>
  </si>
  <si>
    <t>Thôn bản Nhàn, xã Hùng Việt, Huyện Tràng định, Tỉnh Lạng sơn. (GCN)</t>
  </si>
  <si>
    <t>Số nhà 97_đường huỳnh thúc kháng_khóm xuân phước_thị trấn lao bảo_ tĩnh quảng trị (GCN)</t>
  </si>
  <si>
    <t>Trương quốc sơn</t>
  </si>
  <si>
    <t>Nguyễn Thị Minh Hương</t>
  </si>
  <si>
    <t>30/9/2015</t>
  </si>
  <si>
    <t>Nhà 8 ngõ 197 đường lê đại hành-tp thái binh-tỉnh thái bình (GCN)</t>
  </si>
  <si>
    <t>Ngõ 137 - đường hai bà trưng - thành phố đồng hới - quảng bình. (GCN)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</si>
</sst>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-F800]dddd\,\ mmmm\ dd\,\ 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4"/>
      <color rgb="FFFF0000"/>
      <name val="Cambria"/>
      <family val="1"/>
      <scheme val="major"/>
    </font>
    <font>
      <b/>
      <sz val="12"/>
      <color rgb="FFFF0000"/>
      <name val="Cambria"/>
      <family val="1"/>
      <scheme val="major"/>
    </font>
    <font>
      <b/>
      <sz val="11"/>
      <color rgb="FFFF0000"/>
      <name val="Calibri"/>
      <family val="2"/>
      <scheme val="minor"/>
    </font>
    <font>
      <b/>
      <sz val="11"/>
      <color rgb="FFFF0000"/>
      <name val="Cambria"/>
      <family val="1"/>
      <scheme val="major"/>
    </font>
    <font>
      <b/>
      <sz val="16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4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sz val="11"/>
      <color rgb="FF141823"/>
      <name val="Times New Roman"/>
      <family val="1"/>
    </font>
    <font>
      <sz val="11"/>
      <color rgb="FF333333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4">
    <xf numFmtId="0" fontId="0" fillId="0" borderId="0" xfId="0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4" fontId="12" fillId="0" borderId="0" xfId="0" applyNumberFormat="1" applyFont="1"/>
    <xf numFmtId="0" fontId="12" fillId="0" borderId="0" xfId="0" applyFont="1" applyAlignment="1">
      <alignment horizontal="center"/>
    </xf>
    <xf numFmtId="0" fontId="12" fillId="0" borderId="0" xfId="0" applyFont="1"/>
    <xf numFmtId="0" fontId="14" fillId="2" borderId="12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14" fontId="12" fillId="0" borderId="15" xfId="0" quotePrefix="1" applyNumberFormat="1" applyFont="1" applyBorder="1" applyAlignment="1">
      <alignment horizontal="left" indent="1"/>
    </xf>
    <xf numFmtId="0" fontId="12" fillId="0" borderId="15" xfId="0" applyFont="1" applyBorder="1" applyAlignment="1">
      <alignment horizontal="center"/>
    </xf>
    <xf numFmtId="0" fontId="12" fillId="0" borderId="15" xfId="0" quotePrefix="1" applyFont="1" applyBorder="1" applyAlignment="1">
      <alignment horizontal="center"/>
    </xf>
    <xf numFmtId="0" fontId="12" fillId="0" borderId="1" xfId="0" applyFont="1" applyBorder="1"/>
    <xf numFmtId="14" fontId="12" fillId="0" borderId="16" xfId="0" quotePrefix="1" applyNumberFormat="1" applyFont="1" applyBorder="1" applyAlignment="1">
      <alignment horizontal="left" indent="1"/>
    </xf>
    <xf numFmtId="0" fontId="12" fillId="0" borderId="16" xfId="0" applyFont="1" applyBorder="1" applyAlignment="1">
      <alignment horizontal="center"/>
    </xf>
    <xf numFmtId="14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1"/>
    </xf>
    <xf numFmtId="0" fontId="15" fillId="0" borderId="5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64" fontId="15" fillId="0" borderId="1" xfId="1" applyNumberFormat="1" applyFont="1" applyBorder="1" applyAlignment="1">
      <alignment horizontal="center"/>
    </xf>
    <xf numFmtId="164" fontId="15" fillId="0" borderId="6" xfId="1" applyNumberFormat="1" applyFont="1" applyBorder="1" applyAlignment="1">
      <alignment horizontal="center"/>
    </xf>
    <xf numFmtId="164" fontId="12" fillId="0" borderId="0" xfId="1" applyNumberFormat="1" applyFont="1" applyAlignment="1">
      <alignment horizontal="center"/>
    </xf>
    <xf numFmtId="0" fontId="12" fillId="0" borderId="0" xfId="0" applyFont="1" applyFill="1"/>
    <xf numFmtId="0" fontId="15" fillId="2" borderId="0" xfId="0" applyFont="1" applyFill="1" applyAlignment="1">
      <alignment horizontal="center"/>
    </xf>
    <xf numFmtId="0" fontId="15" fillId="2" borderId="0" xfId="0" applyFont="1" applyFill="1"/>
    <xf numFmtId="0" fontId="15" fillId="0" borderId="0" xfId="0" applyFont="1" applyAlignment="1">
      <alignment horizontal="center"/>
    </xf>
    <xf numFmtId="0" fontId="15" fillId="0" borderId="0" xfId="0" applyFont="1"/>
    <xf numFmtId="0" fontId="12" fillId="3" borderId="15" xfId="0" applyFont="1" applyFill="1" applyBorder="1" applyAlignment="1">
      <alignment horizontal="left" indent="1"/>
    </xf>
    <xf numFmtId="0" fontId="12" fillId="3" borderId="15" xfId="0" applyFont="1" applyFill="1" applyBorder="1" applyAlignment="1">
      <alignment horizontal="left" wrapText="1" indent="1"/>
    </xf>
    <xf numFmtId="0" fontId="12" fillId="3" borderId="16" xfId="0" applyFont="1" applyFill="1" applyBorder="1" applyAlignment="1">
      <alignment horizontal="left" indent="1"/>
    </xf>
    <xf numFmtId="0" fontId="12" fillId="3" borderId="16" xfId="0" applyFont="1" applyFill="1" applyBorder="1" applyAlignment="1">
      <alignment horizontal="left" wrapText="1" indent="1"/>
    </xf>
    <xf numFmtId="0" fontId="12" fillId="3" borderId="1" xfId="0" applyFont="1" applyFill="1" applyBorder="1" applyAlignment="1">
      <alignment horizontal="left" indent="1"/>
    </xf>
    <xf numFmtId="0" fontId="12" fillId="3" borderId="1" xfId="0" applyFont="1" applyFill="1" applyBorder="1" applyAlignment="1">
      <alignment horizontal="left" wrapText="1" indent="1"/>
    </xf>
    <xf numFmtId="0" fontId="14" fillId="0" borderId="0" xfId="0" applyFont="1" applyAlignment="1">
      <alignment horizontal="center"/>
    </xf>
    <xf numFmtId="0" fontId="14" fillId="3" borderId="1" xfId="0" applyFont="1" applyFill="1" applyBorder="1" applyAlignment="1">
      <alignment horizontal="left" indent="1"/>
    </xf>
    <xf numFmtId="0" fontId="14" fillId="3" borderId="1" xfId="0" applyFont="1" applyFill="1" applyBorder="1" applyAlignment="1">
      <alignment horizontal="left" wrapText="1" indent="1"/>
    </xf>
    <xf numFmtId="0" fontId="14" fillId="0" borderId="0" xfId="0" applyFont="1"/>
    <xf numFmtId="0" fontId="12" fillId="0" borderId="14" xfId="0" applyFont="1" applyBorder="1"/>
    <xf numFmtId="0" fontId="12" fillId="0" borderId="15" xfId="0" applyFont="1" applyBorder="1"/>
    <xf numFmtId="0" fontId="12" fillId="0" borderId="16" xfId="0" applyFont="1" applyBorder="1"/>
    <xf numFmtId="0" fontId="14" fillId="2" borderId="1" xfId="0" applyFont="1" applyFill="1" applyBorder="1" applyAlignment="1">
      <alignment horizontal="center"/>
    </xf>
    <xf numFmtId="14" fontId="12" fillId="0" borderId="1" xfId="0" quotePrefix="1" applyNumberFormat="1" applyFont="1" applyBorder="1" applyAlignment="1">
      <alignment horizontal="left" indent="1"/>
    </xf>
    <xf numFmtId="14" fontId="14" fillId="0" borderId="1" xfId="0" quotePrefix="1" applyNumberFormat="1" applyFont="1" applyBorder="1" applyAlignment="1">
      <alignment horizontal="left" indent="1"/>
    </xf>
    <xf numFmtId="0" fontId="14" fillId="0" borderId="1" xfId="0" applyFont="1" applyBorder="1"/>
    <xf numFmtId="0" fontId="12" fillId="0" borderId="19" xfId="0" applyFont="1" applyBorder="1" applyAlignment="1">
      <alignment horizontal="center"/>
    </xf>
    <xf numFmtId="0" fontId="12" fillId="3" borderId="19" xfId="0" applyFont="1" applyFill="1" applyBorder="1" applyAlignment="1">
      <alignment horizontal="left" indent="1"/>
    </xf>
    <xf numFmtId="0" fontId="12" fillId="0" borderId="19" xfId="0" applyFont="1" applyBorder="1"/>
    <xf numFmtId="0" fontId="8" fillId="2" borderId="14" xfId="0" applyFont="1" applyFill="1" applyBorder="1" applyAlignment="1">
      <alignment horizontal="center"/>
    </xf>
    <xf numFmtId="0" fontId="7" fillId="2" borderId="14" xfId="0" applyFont="1" applyFill="1" applyBorder="1"/>
    <xf numFmtId="0" fontId="0" fillId="0" borderId="15" xfId="0" applyBorder="1" applyAlignment="1">
      <alignment horizontal="center"/>
    </xf>
    <xf numFmtId="0" fontId="3" fillId="0" borderId="15" xfId="0" applyFont="1" applyBorder="1" applyAlignment="1">
      <alignment horizontal="left"/>
    </xf>
    <xf numFmtId="14" fontId="3" fillId="0" borderId="15" xfId="0" applyNumberFormat="1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14" fontId="4" fillId="0" borderId="15" xfId="0" applyNumberFormat="1" applyFont="1" applyBorder="1" applyAlignment="1">
      <alignment horizontal="left"/>
    </xf>
    <xf numFmtId="0" fontId="3" fillId="0" borderId="15" xfId="0" quotePrefix="1" applyFont="1" applyBorder="1" applyAlignment="1">
      <alignment horizontal="left"/>
    </xf>
    <xf numFmtId="0" fontId="0" fillId="0" borderId="17" xfId="0" applyBorder="1" applyAlignment="1">
      <alignment horizontal="center"/>
    </xf>
    <xf numFmtId="0" fontId="3" fillId="0" borderId="17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0" fillId="0" borderId="18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7" fillId="2" borderId="20" xfId="0" applyFont="1" applyFill="1" applyBorder="1"/>
    <xf numFmtId="0" fontId="7" fillId="2" borderId="20" xfId="0" applyFont="1" applyFill="1" applyBorder="1" applyAlignment="1">
      <alignment wrapText="1"/>
    </xf>
    <xf numFmtId="0" fontId="7" fillId="2" borderId="21" xfId="0" applyFont="1" applyFill="1" applyBorder="1" applyAlignment="1">
      <alignment wrapText="1"/>
    </xf>
    <xf numFmtId="14" fontId="3" fillId="0" borderId="1" xfId="0" applyNumberFormat="1" applyFont="1" applyFill="1" applyBorder="1" applyAlignment="1">
      <alignment horizontal="left"/>
    </xf>
    <xf numFmtId="0" fontId="11" fillId="0" borderId="0" xfId="0" applyFont="1"/>
    <xf numFmtId="0" fontId="11" fillId="0" borderId="1" xfId="0" applyFont="1" applyBorder="1"/>
    <xf numFmtId="0" fontId="11" fillId="0" borderId="1" xfId="0" applyFont="1" applyFill="1" applyBorder="1"/>
    <xf numFmtId="0" fontId="2" fillId="0" borderId="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0" xfId="0" applyFont="1" applyFill="1"/>
    <xf numFmtId="164" fontId="2" fillId="0" borderId="1" xfId="1" applyNumberFormat="1" applyFont="1" applyBorder="1" applyAlignment="1">
      <alignment horizontal="right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left"/>
    </xf>
    <xf numFmtId="0" fontId="9" fillId="2" borderId="1" xfId="0" applyFont="1" applyFill="1" applyBorder="1" applyAlignment="1">
      <alignment horizontal="left"/>
    </xf>
    <xf numFmtId="166" fontId="9" fillId="2" borderId="1" xfId="0" applyNumberFormat="1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166" fontId="5" fillId="0" borderId="1" xfId="0" applyNumberFormat="1" applyFont="1" applyBorder="1" applyAlignment="1">
      <alignment horizontal="left"/>
    </xf>
    <xf numFmtId="0" fontId="5" fillId="0" borderId="0" xfId="0" applyFont="1" applyAlignment="1">
      <alignment horizontal="left"/>
    </xf>
    <xf numFmtId="166" fontId="5" fillId="0" borderId="0" xfId="0" applyNumberFormat="1" applyFont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9" fillId="2" borderId="13" xfId="0" applyFont="1" applyFill="1" applyBorder="1" applyAlignment="1">
      <alignment horizontal="left"/>
    </xf>
    <xf numFmtId="0" fontId="15" fillId="0" borderId="1" xfId="0" applyFont="1" applyBorder="1"/>
    <xf numFmtId="0" fontId="15" fillId="3" borderId="0" xfId="0" applyFont="1" applyFill="1" applyAlignment="1">
      <alignment horizontal="center"/>
    </xf>
    <xf numFmtId="0" fontId="15" fillId="3" borderId="0" xfId="0" applyFont="1" applyFill="1"/>
    <xf numFmtId="0" fontId="5" fillId="0" borderId="19" xfId="0" applyFont="1" applyBorder="1" applyAlignment="1">
      <alignment horizontal="left"/>
    </xf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164" fontId="14" fillId="0" borderId="8" xfId="1" applyNumberFormat="1" applyFont="1" applyBorder="1" applyAlignment="1">
      <alignment horizontal="center"/>
    </xf>
    <xf numFmtId="164" fontId="14" fillId="0" borderId="9" xfId="1" applyNumberFormat="1" applyFont="1" applyBorder="1" applyAlignment="1">
      <alignment horizontal="center"/>
    </xf>
    <xf numFmtId="164" fontId="8" fillId="2" borderId="7" xfId="1" applyNumberFormat="1" applyFont="1" applyFill="1" applyBorder="1" applyAlignment="1">
      <alignment horizontal="left"/>
    </xf>
    <xf numFmtId="164" fontId="8" fillId="2" borderId="8" xfId="1" applyNumberFormat="1" applyFont="1" applyFill="1" applyBorder="1" applyAlignment="1">
      <alignment horizontal="left"/>
    </xf>
    <xf numFmtId="164" fontId="8" fillId="2" borderId="9" xfId="1" applyNumberFormat="1" applyFont="1" applyFill="1" applyBorder="1" applyAlignment="1">
      <alignment horizontal="left"/>
    </xf>
    <xf numFmtId="14" fontId="12" fillId="0" borderId="18" xfId="0" quotePrefix="1" applyNumberFormat="1" applyFont="1" applyBorder="1" applyAlignment="1">
      <alignment horizontal="left" indent="1"/>
    </xf>
    <xf numFmtId="0" fontId="12" fillId="3" borderId="18" xfId="0" applyFont="1" applyFill="1" applyBorder="1" applyAlignment="1">
      <alignment horizontal="left" indent="1"/>
    </xf>
    <xf numFmtId="0" fontId="12" fillId="3" borderId="18" xfId="0" applyFont="1" applyFill="1" applyBorder="1" applyAlignment="1">
      <alignment horizontal="left" wrapText="1" indent="1"/>
    </xf>
    <xf numFmtId="0" fontId="12" fillId="0" borderId="18" xfId="0" applyFont="1" applyBorder="1" applyAlignment="1">
      <alignment horizontal="center"/>
    </xf>
    <xf numFmtId="0" fontId="12" fillId="0" borderId="18" xfId="0" applyFont="1" applyBorder="1"/>
    <xf numFmtId="14" fontId="13" fillId="2" borderId="14" xfId="0" applyNumberFormat="1" applyFont="1" applyFill="1" applyBorder="1" applyAlignment="1">
      <alignment horizontal="center"/>
    </xf>
    <xf numFmtId="0" fontId="14" fillId="2" borderId="14" xfId="0" applyFont="1" applyFill="1" applyBorder="1" applyAlignment="1">
      <alignment horizontal="center"/>
    </xf>
    <xf numFmtId="165" fontId="12" fillId="0" borderId="15" xfId="1" applyNumberFormat="1" applyFont="1" applyBorder="1"/>
    <xf numFmtId="164" fontId="12" fillId="0" borderId="15" xfId="1" applyNumberFormat="1" applyFont="1" applyBorder="1"/>
    <xf numFmtId="0" fontId="12" fillId="0" borderId="17" xfId="0" applyFont="1" applyBorder="1"/>
    <xf numFmtId="164" fontId="12" fillId="0" borderId="17" xfId="1" applyNumberFormat="1" applyFont="1" applyBorder="1"/>
    <xf numFmtId="164" fontId="12" fillId="0" borderId="1" xfId="1" applyNumberFormat="1" applyFont="1" applyBorder="1"/>
    <xf numFmtId="164" fontId="17" fillId="2" borderId="1" xfId="1" applyNumberFormat="1" applyFont="1" applyFill="1" applyBorder="1"/>
    <xf numFmtId="164" fontId="12" fillId="0" borderId="0" xfId="1" applyNumberFormat="1" applyFont="1"/>
    <xf numFmtId="0" fontId="14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7" fillId="2" borderId="2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16" fillId="0" borderId="0" xfId="0" applyFont="1" applyAlignment="1">
      <alignment horizontal="center"/>
    </xf>
    <xf numFmtId="14" fontId="12" fillId="0" borderId="19" xfId="0" quotePrefix="1" applyNumberFormat="1" applyFont="1" applyBorder="1" applyAlignment="1">
      <alignment horizontal="left" indent="1"/>
    </xf>
    <xf numFmtId="0" fontId="12" fillId="3" borderId="19" xfId="0" applyFont="1" applyFill="1" applyBorder="1" applyAlignment="1">
      <alignment horizontal="left" wrapText="1" indent="1"/>
    </xf>
    <xf numFmtId="0" fontId="12" fillId="4" borderId="15" xfId="0" applyFont="1" applyFill="1" applyBorder="1" applyAlignment="1">
      <alignment horizontal="center"/>
    </xf>
    <xf numFmtId="0" fontId="12" fillId="0" borderId="15" xfId="0" applyFont="1" applyBorder="1" applyAlignment="1">
      <alignment horizontal="center" wrapText="1"/>
    </xf>
    <xf numFmtId="0" fontId="12" fillId="4" borderId="15" xfId="0" applyFont="1" applyFill="1" applyBorder="1" applyAlignment="1">
      <alignment horizontal="center" wrapText="1"/>
    </xf>
    <xf numFmtId="0" fontId="12" fillId="3" borderId="15" xfId="0" applyFont="1" applyFill="1" applyBorder="1" applyAlignment="1">
      <alignment horizontal="left" vertical="top"/>
    </xf>
    <xf numFmtId="0" fontId="12" fillId="3" borderId="15" xfId="0" applyFont="1" applyFill="1" applyBorder="1" applyAlignment="1">
      <alignment horizontal="left" vertical="top" wrapText="1"/>
    </xf>
    <xf numFmtId="0" fontId="12" fillId="0" borderId="15" xfId="0" applyFont="1" applyBorder="1" applyAlignment="1">
      <alignment vertical="top"/>
    </xf>
    <xf numFmtId="0" fontId="18" fillId="4" borderId="15" xfId="0" applyFont="1" applyFill="1" applyBorder="1" applyAlignment="1">
      <alignment horizontal="left" vertical="top" wrapText="1"/>
    </xf>
    <xf numFmtId="0" fontId="19" fillId="4" borderId="15" xfId="0" applyFont="1" applyFill="1" applyBorder="1" applyAlignment="1">
      <alignment vertical="top" wrapText="1"/>
    </xf>
    <xf numFmtId="0" fontId="18" fillId="0" borderId="15" xfId="0" applyFont="1" applyBorder="1" applyAlignment="1">
      <alignment vertical="top"/>
    </xf>
    <xf numFmtId="0" fontId="12" fillId="4" borderId="15" xfId="0" applyFont="1" applyFill="1" applyBorder="1" applyAlignment="1">
      <alignment vertical="top"/>
    </xf>
    <xf numFmtId="0" fontId="12" fillId="0" borderId="15" xfId="0" applyFont="1" applyBorder="1" applyAlignment="1">
      <alignment vertical="top" wrapText="1"/>
    </xf>
    <xf numFmtId="0" fontId="12" fillId="4" borderId="15" xfId="0" applyFont="1" applyFill="1" applyBorder="1" applyAlignment="1">
      <alignment vertical="top" wrapText="1"/>
    </xf>
    <xf numFmtId="0" fontId="18" fillId="4" borderId="15" xfId="0" applyFont="1" applyFill="1" applyBorder="1" applyAlignment="1">
      <alignment vertical="top" wrapText="1"/>
    </xf>
    <xf numFmtId="0" fontId="12" fillId="4" borderId="15" xfId="0" applyFont="1" applyFill="1" applyBorder="1" applyAlignment="1">
      <alignment horizontal="left" vertical="top"/>
    </xf>
    <xf numFmtId="0" fontId="12" fillId="0" borderId="15" xfId="0" applyFont="1" applyBorder="1" applyAlignment="1">
      <alignment horizontal="left" vertical="top" wrapText="1"/>
    </xf>
    <xf numFmtId="0" fontId="12" fillId="0" borderId="15" xfId="0" applyFont="1" applyBorder="1" applyAlignment="1">
      <alignment horizontal="left" vertical="top"/>
    </xf>
    <xf numFmtId="0" fontId="12" fillId="4" borderId="15" xfId="0" applyFont="1" applyFill="1" applyBorder="1" applyAlignment="1">
      <alignment horizontal="left" vertical="top" wrapText="1"/>
    </xf>
    <xf numFmtId="0" fontId="19" fillId="4" borderId="15" xfId="0" applyFont="1" applyFill="1" applyBorder="1" applyAlignment="1">
      <alignment horizontal="left" vertical="top" wrapText="1"/>
    </xf>
    <xf numFmtId="0" fontId="18" fillId="0" borderId="15" xfId="0" applyFont="1" applyBorder="1" applyAlignment="1">
      <alignment horizontal="left" vertical="top"/>
    </xf>
    <xf numFmtId="0" fontId="20" fillId="0" borderId="15" xfId="0" applyFont="1" applyBorder="1" applyAlignment="1">
      <alignment horizontal="left" vertical="top"/>
    </xf>
    <xf numFmtId="0" fontId="19" fillId="5" borderId="15" xfId="0" applyFont="1" applyFill="1" applyBorder="1" applyAlignment="1">
      <alignment vertical="top" wrapText="1"/>
    </xf>
    <xf numFmtId="0" fontId="21" fillId="0" borderId="15" xfId="0" applyFont="1" applyBorder="1" applyAlignment="1">
      <alignment horizontal="center" vertical="top"/>
    </xf>
    <xf numFmtId="0" fontId="21" fillId="0" borderId="15" xfId="0" applyFont="1" applyBorder="1" applyAlignment="1">
      <alignment horizontal="center" vertical="top" wrapText="1"/>
    </xf>
    <xf numFmtId="0" fontId="21" fillId="4" borderId="15" xfId="0" applyFont="1" applyFill="1" applyBorder="1" applyAlignment="1">
      <alignment horizontal="center" vertical="top"/>
    </xf>
    <xf numFmtId="0" fontId="21" fillId="4" borderId="15" xfId="0" applyFont="1" applyFill="1" applyBorder="1" applyAlignment="1">
      <alignment horizontal="center" vertical="top" wrapText="1"/>
    </xf>
    <xf numFmtId="0" fontId="21" fillId="0" borderId="15" xfId="0" quotePrefix="1" applyFont="1" applyBorder="1" applyAlignment="1">
      <alignment horizontal="center" vertical="top" wrapText="1"/>
    </xf>
    <xf numFmtId="0" fontId="12" fillId="3" borderId="15" xfId="0" applyFont="1" applyFill="1" applyBorder="1" applyAlignment="1">
      <alignment horizontal="center"/>
    </xf>
    <xf numFmtId="0" fontId="12" fillId="3" borderId="15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048246"/>
  <sheetViews>
    <sheetView tabSelected="1" workbookViewId="0">
      <pane xSplit="3" ySplit="2" topLeftCell="D75" activePane="bottomRight" state="frozen"/>
      <selection pane="topRight" activeCell="C1" sqref="C1"/>
      <selection pane="bottomLeft" activeCell="A4" sqref="A4"/>
      <selection pane="bottomRight" activeCell="E80" sqref="E80"/>
    </sheetView>
  </sheetViews>
  <sheetFormatPr defaultRowHeight="15" x14ac:dyDescent="0.25"/>
  <cols>
    <col min="1" max="1" width="9.140625" style="11"/>
    <col min="2" max="2" width="13.5703125" style="9" customWidth="1"/>
    <col min="3" max="3" width="26.140625" style="11" customWidth="1"/>
    <col min="4" max="4" width="24.5703125" style="11" customWidth="1"/>
    <col min="5" max="5" width="36" style="11" customWidth="1"/>
    <col min="6" max="6" width="14.42578125" style="10" customWidth="1"/>
    <col min="7" max="7" width="11.5703125" style="11" customWidth="1"/>
    <col min="8" max="8" width="9.140625" style="11"/>
    <col min="9" max="11" width="9.140625" style="10"/>
    <col min="12" max="12" width="18.85546875" style="11" customWidth="1"/>
    <col min="13" max="13" width="17" style="10" customWidth="1"/>
    <col min="14" max="14" width="21.42578125" style="10" customWidth="1"/>
    <col min="15" max="15" width="11.28515625" style="10" customWidth="1"/>
    <col min="16" max="16" width="28.28515625" style="11" customWidth="1"/>
    <col min="17" max="16384" width="9.140625" style="11"/>
  </cols>
  <sheetData>
    <row r="1" spans="1:18" x14ac:dyDescent="0.25">
      <c r="C1" s="117" t="s">
        <v>53</v>
      </c>
      <c r="D1" s="117"/>
      <c r="E1" s="117"/>
      <c r="I1" s="117" t="s">
        <v>38</v>
      </c>
      <c r="J1" s="117"/>
      <c r="K1" s="117"/>
      <c r="L1" s="117"/>
      <c r="M1" s="117"/>
      <c r="N1" s="117"/>
      <c r="O1" s="117"/>
    </row>
    <row r="2" spans="1:18" x14ac:dyDescent="0.25">
      <c r="A2" s="108" t="s">
        <v>11</v>
      </c>
      <c r="B2" s="108" t="s">
        <v>52</v>
      </c>
      <c r="C2" s="109" t="s">
        <v>39</v>
      </c>
      <c r="D2" s="109" t="s">
        <v>108</v>
      </c>
      <c r="E2" s="109" t="s">
        <v>1</v>
      </c>
      <c r="F2" s="109" t="s">
        <v>76</v>
      </c>
      <c r="G2" s="109" t="s">
        <v>54</v>
      </c>
      <c r="H2" s="44" t="s">
        <v>77</v>
      </c>
      <c r="I2" s="11"/>
      <c r="J2" s="11"/>
      <c r="K2" s="11"/>
      <c r="L2" s="47" t="s">
        <v>11</v>
      </c>
      <c r="M2" s="47" t="s">
        <v>39</v>
      </c>
      <c r="N2" s="47" t="s">
        <v>108</v>
      </c>
      <c r="O2" s="47" t="s">
        <v>1</v>
      </c>
      <c r="P2" s="47" t="s">
        <v>40</v>
      </c>
      <c r="Q2" s="47" t="s">
        <v>41</v>
      </c>
      <c r="R2" s="19" t="s">
        <v>77</v>
      </c>
    </row>
    <row r="3" spans="1:18" ht="17.25" customHeight="1" x14ac:dyDescent="0.25">
      <c r="A3" s="45">
        <v>1</v>
      </c>
      <c r="B3" s="16" t="s">
        <v>114</v>
      </c>
      <c r="C3" s="129" t="s">
        <v>115</v>
      </c>
      <c r="D3" s="131" t="s">
        <v>116</v>
      </c>
      <c r="E3" s="147" t="s">
        <v>42</v>
      </c>
      <c r="F3" s="152" t="s">
        <v>117</v>
      </c>
      <c r="G3" s="17"/>
      <c r="H3" s="45"/>
      <c r="I3" s="11"/>
      <c r="J3" s="11"/>
      <c r="K3" s="11"/>
      <c r="L3" s="51">
        <v>1</v>
      </c>
      <c r="M3" s="52" t="s">
        <v>48</v>
      </c>
      <c r="N3" s="95" t="s">
        <v>110</v>
      </c>
      <c r="O3" s="51" t="s">
        <v>42</v>
      </c>
      <c r="P3" s="52" t="s">
        <v>45</v>
      </c>
      <c r="Q3" s="51">
        <v>1</v>
      </c>
      <c r="R3" s="53"/>
    </row>
    <row r="4" spans="1:18" ht="17.25" customHeight="1" x14ac:dyDescent="0.25">
      <c r="A4" s="45">
        <v>2</v>
      </c>
      <c r="B4" s="16" t="s">
        <v>114</v>
      </c>
      <c r="C4" s="129" t="s">
        <v>118</v>
      </c>
      <c r="D4" s="131" t="s">
        <v>119</v>
      </c>
      <c r="E4" s="147" t="s">
        <v>120</v>
      </c>
      <c r="F4" s="153" t="s">
        <v>121</v>
      </c>
      <c r="G4" s="17"/>
      <c r="H4" s="45"/>
      <c r="I4" s="11"/>
      <c r="J4" s="11"/>
      <c r="K4" s="11"/>
      <c r="L4" s="17">
        <v>2</v>
      </c>
      <c r="M4" s="34" t="s">
        <v>49</v>
      </c>
      <c r="N4" s="45" t="s">
        <v>113</v>
      </c>
      <c r="O4" s="17" t="s">
        <v>44</v>
      </c>
      <c r="P4" s="35" t="s">
        <v>47</v>
      </c>
      <c r="Q4" s="17">
        <v>4</v>
      </c>
      <c r="R4" s="45"/>
    </row>
    <row r="5" spans="1:18" ht="17.25" customHeight="1" x14ac:dyDescent="0.25">
      <c r="A5" s="45">
        <v>3</v>
      </c>
      <c r="B5" s="16">
        <v>42072</v>
      </c>
      <c r="C5" s="141" t="s">
        <v>122</v>
      </c>
      <c r="D5" s="131" t="s">
        <v>123</v>
      </c>
      <c r="E5" s="147">
        <v>1293381655</v>
      </c>
      <c r="F5" s="17" t="s">
        <v>121</v>
      </c>
      <c r="G5" s="18"/>
      <c r="H5" s="45"/>
      <c r="I5" s="11"/>
      <c r="J5" s="11"/>
      <c r="K5" s="11"/>
      <c r="L5" s="17">
        <v>3</v>
      </c>
      <c r="M5" s="34" t="s">
        <v>50</v>
      </c>
      <c r="N5" s="95" t="s">
        <v>110</v>
      </c>
      <c r="O5" s="17" t="s">
        <v>46</v>
      </c>
      <c r="P5" s="35" t="s">
        <v>51</v>
      </c>
      <c r="Q5" s="18" t="s">
        <v>73</v>
      </c>
      <c r="R5" s="45"/>
    </row>
    <row r="6" spans="1:18" ht="17.25" customHeight="1" x14ac:dyDescent="0.25">
      <c r="A6" s="45">
        <v>4</v>
      </c>
      <c r="B6" s="16">
        <v>42072</v>
      </c>
      <c r="C6" s="141" t="s">
        <v>124</v>
      </c>
      <c r="D6" s="131" t="s">
        <v>125</v>
      </c>
      <c r="E6" s="147">
        <v>1262621319</v>
      </c>
      <c r="F6" s="17" t="s">
        <v>121</v>
      </c>
      <c r="G6" s="17"/>
      <c r="H6" s="45"/>
      <c r="I6" s="11"/>
      <c r="J6" s="11"/>
      <c r="K6" s="11"/>
      <c r="L6" s="17"/>
      <c r="M6" s="34" t="s">
        <v>74</v>
      </c>
      <c r="N6" s="45" t="s">
        <v>113</v>
      </c>
      <c r="O6" s="17"/>
      <c r="P6" s="34" t="s">
        <v>43</v>
      </c>
      <c r="Q6" s="17">
        <v>2</v>
      </c>
      <c r="R6" s="45"/>
    </row>
    <row r="7" spans="1:18" ht="17.25" customHeight="1" x14ac:dyDescent="0.25">
      <c r="A7" s="45">
        <v>5</v>
      </c>
      <c r="B7" s="16">
        <v>42072</v>
      </c>
      <c r="C7" s="141" t="s">
        <v>126</v>
      </c>
      <c r="D7" s="131" t="s">
        <v>127</v>
      </c>
      <c r="E7" s="147">
        <v>977768274</v>
      </c>
      <c r="F7" s="17" t="s">
        <v>128</v>
      </c>
      <c r="G7" s="17"/>
      <c r="H7" s="45"/>
      <c r="I7" s="11"/>
      <c r="J7" s="11"/>
      <c r="K7" s="11"/>
      <c r="L7" s="17"/>
      <c r="M7" s="45"/>
      <c r="N7" s="95"/>
      <c r="O7" s="17"/>
      <c r="P7" s="17"/>
      <c r="Q7" s="17"/>
      <c r="R7" s="45"/>
    </row>
    <row r="8" spans="1:18" ht="17.25" customHeight="1" x14ac:dyDescent="0.25">
      <c r="A8" s="45">
        <v>6</v>
      </c>
      <c r="B8" s="16">
        <v>42103</v>
      </c>
      <c r="C8" s="141" t="s">
        <v>129</v>
      </c>
      <c r="D8" s="131" t="s">
        <v>130</v>
      </c>
      <c r="E8" s="147">
        <v>1676294630</v>
      </c>
      <c r="F8" s="17" t="s">
        <v>121</v>
      </c>
      <c r="G8" s="17"/>
      <c r="H8" s="45"/>
      <c r="I8" s="11"/>
      <c r="J8" s="11"/>
      <c r="K8" s="11"/>
      <c r="L8" s="17"/>
      <c r="M8" s="45"/>
      <c r="N8" s="45"/>
      <c r="O8" s="17"/>
      <c r="P8" s="17"/>
      <c r="Q8" s="17"/>
      <c r="R8" s="45"/>
    </row>
    <row r="9" spans="1:18" ht="17.25" customHeight="1" x14ac:dyDescent="0.25">
      <c r="A9" s="45">
        <v>7</v>
      </c>
      <c r="B9" s="16">
        <v>42133</v>
      </c>
      <c r="C9" s="141" t="s">
        <v>131</v>
      </c>
      <c r="D9" s="131" t="s">
        <v>132</v>
      </c>
      <c r="E9" s="147">
        <v>946661591</v>
      </c>
      <c r="F9" s="17" t="s">
        <v>117</v>
      </c>
      <c r="G9" s="17"/>
      <c r="H9" s="45"/>
      <c r="I9" s="11"/>
      <c r="J9" s="11"/>
      <c r="K9" s="11"/>
      <c r="L9" s="17"/>
      <c r="M9" s="45"/>
      <c r="N9" s="45"/>
      <c r="O9" s="17"/>
      <c r="P9" s="17"/>
      <c r="Q9" s="17"/>
      <c r="R9" s="45"/>
    </row>
    <row r="10" spans="1:18" ht="17.25" customHeight="1" x14ac:dyDescent="0.25">
      <c r="A10" s="45">
        <v>8</v>
      </c>
      <c r="B10" s="16">
        <v>42194</v>
      </c>
      <c r="C10" s="141" t="s">
        <v>133</v>
      </c>
      <c r="D10" s="131" t="s">
        <v>134</v>
      </c>
      <c r="E10" s="147">
        <v>945299322</v>
      </c>
      <c r="F10" s="17" t="s">
        <v>117</v>
      </c>
      <c r="G10" s="17"/>
      <c r="H10" s="45"/>
      <c r="I10" s="11"/>
      <c r="J10" s="11"/>
      <c r="K10" s="11"/>
      <c r="L10" s="17"/>
      <c r="M10" s="45"/>
      <c r="N10" s="45"/>
      <c r="O10" s="17"/>
      <c r="P10" s="17"/>
      <c r="Q10" s="17"/>
      <c r="R10" s="45"/>
    </row>
    <row r="11" spans="1:18" ht="17.25" customHeight="1" x14ac:dyDescent="0.25">
      <c r="A11" s="45">
        <v>9</v>
      </c>
      <c r="B11" s="16">
        <v>42194</v>
      </c>
      <c r="C11" s="141" t="s">
        <v>135</v>
      </c>
      <c r="D11" s="131" t="s">
        <v>136</v>
      </c>
      <c r="E11" s="147">
        <v>1693131996</v>
      </c>
      <c r="F11" s="17" t="s">
        <v>121</v>
      </c>
      <c r="G11" s="17"/>
      <c r="H11" s="45"/>
      <c r="I11" s="11"/>
      <c r="J11" s="11"/>
      <c r="K11" s="11"/>
      <c r="L11" s="17"/>
      <c r="M11" s="45"/>
      <c r="N11" s="95"/>
      <c r="O11" s="17"/>
      <c r="P11" s="17"/>
      <c r="Q11" s="17"/>
      <c r="R11" s="45"/>
    </row>
    <row r="12" spans="1:18" ht="17.25" customHeight="1" x14ac:dyDescent="0.25">
      <c r="A12" s="45">
        <v>10</v>
      </c>
      <c r="B12" s="16">
        <v>42194</v>
      </c>
      <c r="C12" s="141" t="s">
        <v>137</v>
      </c>
      <c r="D12" s="136" t="s">
        <v>138</v>
      </c>
      <c r="E12" s="147">
        <v>966221362</v>
      </c>
      <c r="F12" s="17" t="s">
        <v>121</v>
      </c>
      <c r="G12" s="17"/>
      <c r="H12" s="45"/>
      <c r="I12" s="11"/>
      <c r="J12" s="11"/>
      <c r="K12" s="11"/>
      <c r="L12" s="17"/>
      <c r="M12" s="45"/>
      <c r="N12" s="45"/>
      <c r="O12" s="17"/>
      <c r="P12" s="17"/>
      <c r="Q12" s="17"/>
      <c r="R12" s="45"/>
    </row>
    <row r="13" spans="1:18" ht="17.25" customHeight="1" x14ac:dyDescent="0.25">
      <c r="A13" s="45">
        <v>11</v>
      </c>
      <c r="B13" s="16">
        <v>42194</v>
      </c>
      <c r="C13" s="141" t="s">
        <v>139</v>
      </c>
      <c r="D13" s="131" t="s">
        <v>140</v>
      </c>
      <c r="E13" s="147">
        <v>905320590</v>
      </c>
      <c r="F13" s="17" t="s">
        <v>121</v>
      </c>
      <c r="G13" s="18"/>
      <c r="H13" s="45"/>
      <c r="I13" s="11"/>
      <c r="J13" s="11"/>
      <c r="K13" s="11"/>
      <c r="L13" s="17"/>
      <c r="M13" s="45"/>
      <c r="N13" s="95"/>
      <c r="O13" s="17"/>
      <c r="P13" s="17"/>
      <c r="Q13" s="17"/>
      <c r="R13" s="45"/>
    </row>
    <row r="14" spans="1:18" ht="17.25" customHeight="1" x14ac:dyDescent="0.25">
      <c r="A14" s="45">
        <v>12</v>
      </c>
      <c r="B14" s="16">
        <v>42194</v>
      </c>
      <c r="C14" s="129" t="s">
        <v>141</v>
      </c>
      <c r="D14" s="131" t="s">
        <v>142</v>
      </c>
      <c r="E14" s="147">
        <v>1268144392</v>
      </c>
      <c r="F14" s="17" t="s">
        <v>121</v>
      </c>
      <c r="G14" s="17"/>
      <c r="H14" s="45"/>
      <c r="I14" s="11"/>
      <c r="J14" s="11"/>
      <c r="K14" s="11"/>
      <c r="L14" s="17"/>
      <c r="M14" s="45"/>
      <c r="N14" s="45"/>
      <c r="O14" s="17"/>
      <c r="P14" s="17"/>
      <c r="Q14" s="17"/>
      <c r="R14" s="45"/>
    </row>
    <row r="15" spans="1:18" ht="17.25" customHeight="1" x14ac:dyDescent="0.25">
      <c r="A15" s="45">
        <v>13</v>
      </c>
      <c r="B15" s="16">
        <v>42225</v>
      </c>
      <c r="C15" s="141" t="s">
        <v>143</v>
      </c>
      <c r="D15" s="131" t="s">
        <v>144</v>
      </c>
      <c r="E15" s="147">
        <v>1692478757</v>
      </c>
      <c r="F15" s="17" t="s">
        <v>121</v>
      </c>
      <c r="G15" s="17"/>
      <c r="H15" s="45"/>
      <c r="I15" s="11"/>
      <c r="J15" s="11"/>
      <c r="K15" s="11"/>
      <c r="L15" s="17"/>
      <c r="M15" s="45"/>
      <c r="N15" s="95"/>
      <c r="O15" s="17"/>
      <c r="P15" s="17"/>
      <c r="Q15" s="17"/>
      <c r="R15" s="45"/>
    </row>
    <row r="16" spans="1:18" ht="17.25" customHeight="1" x14ac:dyDescent="0.25">
      <c r="A16" s="45">
        <v>14</v>
      </c>
      <c r="B16" s="16">
        <v>42225</v>
      </c>
      <c r="C16" s="130" t="s">
        <v>145</v>
      </c>
      <c r="D16" s="131" t="s">
        <v>146</v>
      </c>
      <c r="E16" s="147">
        <v>1649744968</v>
      </c>
      <c r="F16" s="17" t="s">
        <v>147</v>
      </c>
      <c r="G16" s="17"/>
      <c r="H16" s="45"/>
      <c r="I16" s="11"/>
      <c r="J16" s="11"/>
      <c r="K16" s="11"/>
      <c r="L16" s="17"/>
      <c r="M16" s="45"/>
      <c r="N16" s="95"/>
      <c r="O16" s="17"/>
      <c r="P16" s="17"/>
      <c r="Q16" s="17"/>
      <c r="R16" s="45"/>
    </row>
    <row r="17" spans="1:18" ht="17.25" customHeight="1" x14ac:dyDescent="0.25">
      <c r="A17" s="45">
        <v>15</v>
      </c>
      <c r="B17" s="16">
        <v>42256</v>
      </c>
      <c r="C17" s="141" t="s">
        <v>148</v>
      </c>
      <c r="D17" s="131" t="s">
        <v>149</v>
      </c>
      <c r="E17" s="147">
        <v>933418505</v>
      </c>
      <c r="F17" s="17" t="s">
        <v>121</v>
      </c>
      <c r="G17" s="17"/>
      <c r="H17" s="45"/>
      <c r="I17" s="11"/>
      <c r="J17" s="11"/>
      <c r="K17" s="11"/>
      <c r="L17" s="17"/>
      <c r="M17" s="45"/>
      <c r="N17" s="95"/>
      <c r="O17" s="17"/>
      <c r="P17" s="17"/>
      <c r="Q17" s="17"/>
      <c r="R17" s="45"/>
    </row>
    <row r="18" spans="1:18" ht="17.25" customHeight="1" x14ac:dyDescent="0.25">
      <c r="A18" s="45">
        <v>16</v>
      </c>
      <c r="B18" s="16">
        <v>42256</v>
      </c>
      <c r="C18" s="129" t="s">
        <v>153</v>
      </c>
      <c r="D18" s="131" t="s">
        <v>151</v>
      </c>
      <c r="E18" s="147">
        <v>1654954109</v>
      </c>
      <c r="F18" s="17" t="s">
        <v>121</v>
      </c>
      <c r="G18" s="17"/>
      <c r="H18" s="45"/>
      <c r="I18" s="11"/>
      <c r="J18" s="11"/>
      <c r="K18" s="11"/>
      <c r="L18" s="17"/>
      <c r="M18" s="45"/>
      <c r="N18" s="95"/>
      <c r="O18" s="17"/>
      <c r="P18" s="17"/>
      <c r="Q18" s="17"/>
      <c r="R18" s="45"/>
    </row>
    <row r="19" spans="1:18" ht="17.25" customHeight="1" x14ac:dyDescent="0.25">
      <c r="A19" s="45">
        <v>17</v>
      </c>
      <c r="B19" s="16">
        <v>42256</v>
      </c>
      <c r="C19" s="129" t="s">
        <v>154</v>
      </c>
      <c r="D19" s="131" t="s">
        <v>152</v>
      </c>
      <c r="E19" s="147">
        <v>946866003</v>
      </c>
      <c r="F19" s="17" t="s">
        <v>150</v>
      </c>
      <c r="G19" s="17"/>
      <c r="H19" s="45"/>
      <c r="I19" s="11"/>
      <c r="J19" s="11"/>
      <c r="K19" s="11"/>
      <c r="L19" s="17"/>
      <c r="M19" s="45"/>
      <c r="N19" s="95"/>
      <c r="O19" s="17"/>
      <c r="P19" s="17"/>
      <c r="Q19" s="17"/>
      <c r="R19" s="45"/>
    </row>
    <row r="20" spans="1:18" ht="17.25" customHeight="1" x14ac:dyDescent="0.25">
      <c r="A20" s="45">
        <v>18</v>
      </c>
      <c r="B20" s="16">
        <v>42286</v>
      </c>
      <c r="C20" s="145" t="s">
        <v>155</v>
      </c>
      <c r="D20" s="131" t="s">
        <v>156</v>
      </c>
      <c r="E20" s="147">
        <v>918150902</v>
      </c>
      <c r="F20" s="17" t="s">
        <v>157</v>
      </c>
      <c r="G20" s="17"/>
      <c r="H20" s="45"/>
      <c r="I20" s="11"/>
      <c r="J20" s="11"/>
      <c r="K20" s="11"/>
      <c r="L20" s="17"/>
      <c r="M20" s="45"/>
      <c r="N20" s="95"/>
      <c r="O20" s="17"/>
      <c r="P20" s="17"/>
      <c r="Q20" s="17"/>
      <c r="R20" s="45"/>
    </row>
    <row r="21" spans="1:18" ht="17.25" customHeight="1" x14ac:dyDescent="0.25">
      <c r="A21" s="45">
        <v>19</v>
      </c>
      <c r="B21" s="16">
        <v>42286</v>
      </c>
      <c r="C21" s="140" t="s">
        <v>161</v>
      </c>
      <c r="D21" s="136" t="s">
        <v>158</v>
      </c>
      <c r="E21" s="148">
        <v>964409228</v>
      </c>
      <c r="F21" s="127" t="s">
        <v>121</v>
      </c>
      <c r="G21" s="17"/>
      <c r="H21" s="45"/>
      <c r="I21" s="11"/>
      <c r="J21" s="11"/>
      <c r="K21" s="11"/>
      <c r="L21" s="17"/>
      <c r="M21" s="45"/>
      <c r="N21" s="95"/>
      <c r="O21" s="17"/>
      <c r="P21" s="17"/>
      <c r="Q21" s="17"/>
      <c r="R21" s="45"/>
    </row>
    <row r="22" spans="1:18" ht="17.25" customHeight="1" x14ac:dyDescent="0.25">
      <c r="A22" s="45">
        <v>20</v>
      </c>
      <c r="B22" s="16">
        <v>42286</v>
      </c>
      <c r="C22" s="140" t="s">
        <v>160</v>
      </c>
      <c r="D22" s="136" t="s">
        <v>159</v>
      </c>
      <c r="E22" s="148">
        <v>937887032</v>
      </c>
      <c r="F22" s="127" t="s">
        <v>117</v>
      </c>
      <c r="G22" s="17"/>
      <c r="H22" s="45"/>
      <c r="I22" s="11"/>
      <c r="J22" s="11"/>
      <c r="K22" s="11"/>
      <c r="L22" s="17"/>
      <c r="M22" s="45"/>
      <c r="N22" s="95"/>
      <c r="O22" s="17"/>
      <c r="P22" s="17"/>
      <c r="Q22" s="17"/>
      <c r="R22" s="45"/>
    </row>
    <row r="23" spans="1:18" ht="17.25" customHeight="1" x14ac:dyDescent="0.25">
      <c r="A23" s="45">
        <v>21</v>
      </c>
      <c r="B23" s="16">
        <v>42317</v>
      </c>
      <c r="C23" s="140" t="s">
        <v>162</v>
      </c>
      <c r="D23" s="136" t="s">
        <v>164</v>
      </c>
      <c r="E23" s="148">
        <v>1672717239</v>
      </c>
      <c r="F23" s="127" t="s">
        <v>157</v>
      </c>
      <c r="G23" s="17"/>
      <c r="H23" s="45"/>
      <c r="I23" s="11"/>
      <c r="J23" s="11"/>
      <c r="K23" s="11"/>
      <c r="L23" s="17"/>
      <c r="M23" s="45"/>
      <c r="N23" s="95"/>
      <c r="O23" s="17"/>
      <c r="P23" s="17"/>
      <c r="Q23" s="17"/>
      <c r="R23" s="45"/>
    </row>
    <row r="24" spans="1:18" ht="17.25" customHeight="1" x14ac:dyDescent="0.25">
      <c r="A24" s="45">
        <v>22</v>
      </c>
      <c r="B24" s="16">
        <v>42317</v>
      </c>
      <c r="C24" s="140" t="s">
        <v>118</v>
      </c>
      <c r="D24" s="136" t="s">
        <v>119</v>
      </c>
      <c r="E24" s="148">
        <v>972721267</v>
      </c>
      <c r="F24" s="127" t="s">
        <v>121</v>
      </c>
      <c r="G24" s="17"/>
      <c r="H24" s="45"/>
      <c r="I24" s="11"/>
      <c r="J24" s="11"/>
      <c r="K24" s="11"/>
      <c r="L24" s="17"/>
      <c r="M24" s="45"/>
      <c r="N24" s="95"/>
      <c r="O24" s="17"/>
      <c r="P24" s="17"/>
      <c r="Q24" s="17"/>
      <c r="R24" s="45"/>
    </row>
    <row r="25" spans="1:18" ht="17.25" customHeight="1" x14ac:dyDescent="0.25">
      <c r="A25" s="45">
        <v>23</v>
      </c>
      <c r="B25" s="16">
        <v>42317</v>
      </c>
      <c r="C25" s="140" t="s">
        <v>163</v>
      </c>
      <c r="D25" s="136" t="s">
        <v>165</v>
      </c>
      <c r="E25" s="148">
        <v>1645522882</v>
      </c>
      <c r="F25" s="127" t="s">
        <v>117</v>
      </c>
      <c r="G25" s="17"/>
      <c r="H25" s="45"/>
      <c r="I25" s="11"/>
      <c r="J25" s="11"/>
      <c r="K25" s="11"/>
      <c r="L25" s="17"/>
      <c r="M25" s="45"/>
      <c r="N25" s="95"/>
      <c r="O25" s="17"/>
      <c r="P25" s="17"/>
      <c r="Q25" s="17"/>
      <c r="R25" s="45"/>
    </row>
    <row r="26" spans="1:18" ht="17.25" customHeight="1" x14ac:dyDescent="0.25">
      <c r="A26" s="45">
        <v>24</v>
      </c>
      <c r="B26" s="16">
        <v>42347</v>
      </c>
      <c r="C26" s="140" t="s">
        <v>166</v>
      </c>
      <c r="D26" s="136" t="s">
        <v>169</v>
      </c>
      <c r="E26" s="148">
        <v>1699260614</v>
      </c>
      <c r="F26" s="127" t="s">
        <v>172</v>
      </c>
      <c r="G26" s="17"/>
      <c r="H26" s="45"/>
      <c r="I26" s="11"/>
      <c r="J26" s="11"/>
      <c r="K26" s="11"/>
      <c r="L26" s="17"/>
      <c r="M26" s="45"/>
      <c r="N26" s="95"/>
      <c r="O26" s="17"/>
      <c r="P26" s="17"/>
      <c r="Q26" s="17"/>
      <c r="R26" s="45"/>
    </row>
    <row r="27" spans="1:18" ht="17.25" customHeight="1" x14ac:dyDescent="0.25">
      <c r="A27" s="45">
        <v>25</v>
      </c>
      <c r="B27" s="16">
        <v>42347</v>
      </c>
      <c r="C27" s="140" t="s">
        <v>168</v>
      </c>
      <c r="D27" s="136" t="s">
        <v>171</v>
      </c>
      <c r="E27" s="148">
        <v>1668988659</v>
      </c>
      <c r="F27" s="127" t="s">
        <v>157</v>
      </c>
      <c r="G27" s="17"/>
      <c r="H27" s="45"/>
      <c r="I27" s="11"/>
      <c r="J27" s="11"/>
      <c r="K27" s="11"/>
      <c r="L27" s="17"/>
      <c r="M27" s="45"/>
      <c r="N27" s="95"/>
      <c r="O27" s="17"/>
      <c r="P27" s="17"/>
      <c r="Q27" s="17"/>
      <c r="R27" s="45"/>
    </row>
    <row r="28" spans="1:18" ht="17.25" customHeight="1" x14ac:dyDescent="0.25">
      <c r="A28" s="45">
        <v>26</v>
      </c>
      <c r="B28" s="16">
        <v>42347</v>
      </c>
      <c r="C28" s="140" t="s">
        <v>167</v>
      </c>
      <c r="D28" s="136" t="s">
        <v>170</v>
      </c>
      <c r="E28" s="148">
        <v>982776259</v>
      </c>
      <c r="F28" s="127" t="s">
        <v>173</v>
      </c>
      <c r="G28" s="17"/>
      <c r="H28" s="45"/>
      <c r="I28" s="11"/>
      <c r="J28" s="11"/>
      <c r="K28" s="11"/>
      <c r="L28" s="17"/>
      <c r="M28" s="45"/>
      <c r="N28" s="95"/>
      <c r="O28" s="17"/>
      <c r="P28" s="17"/>
      <c r="Q28" s="17"/>
      <c r="R28" s="45"/>
    </row>
    <row r="29" spans="1:18" ht="17.25" customHeight="1" x14ac:dyDescent="0.25">
      <c r="A29" s="45">
        <v>27</v>
      </c>
      <c r="B29" s="16" t="s">
        <v>174</v>
      </c>
      <c r="C29" s="139" t="s">
        <v>175</v>
      </c>
      <c r="D29" s="135" t="s">
        <v>177</v>
      </c>
      <c r="E29" s="149">
        <v>967528689</v>
      </c>
      <c r="F29" s="126" t="s">
        <v>147</v>
      </c>
      <c r="G29" s="17"/>
      <c r="H29" s="45"/>
      <c r="I29" s="11"/>
      <c r="J29" s="11"/>
      <c r="K29" s="11"/>
      <c r="L29" s="17"/>
      <c r="M29" s="45"/>
      <c r="N29" s="95"/>
      <c r="O29" s="17"/>
      <c r="P29" s="17"/>
      <c r="Q29" s="17"/>
      <c r="R29" s="45"/>
    </row>
    <row r="30" spans="1:18" ht="17.25" customHeight="1" x14ac:dyDescent="0.25">
      <c r="A30" s="45">
        <v>28</v>
      </c>
      <c r="B30" s="16" t="s">
        <v>174</v>
      </c>
      <c r="C30" s="139" t="s">
        <v>176</v>
      </c>
      <c r="D30" s="135" t="s">
        <v>178</v>
      </c>
      <c r="E30" s="149">
        <v>942334335</v>
      </c>
      <c r="F30" s="126" t="s">
        <v>157</v>
      </c>
      <c r="G30" s="17"/>
      <c r="H30" s="45"/>
      <c r="I30" s="11"/>
      <c r="J30" s="11"/>
      <c r="K30" s="11"/>
      <c r="L30" s="17"/>
      <c r="M30" s="45"/>
      <c r="N30" s="95"/>
      <c r="O30" s="17"/>
      <c r="P30" s="17"/>
      <c r="Q30" s="17"/>
      <c r="R30" s="45"/>
    </row>
    <row r="31" spans="1:18" ht="17.25" customHeight="1" x14ac:dyDescent="0.25">
      <c r="A31" s="45">
        <v>29</v>
      </c>
      <c r="B31" s="16" t="s">
        <v>181</v>
      </c>
      <c r="C31" s="142" t="s">
        <v>179</v>
      </c>
      <c r="D31" s="135" t="s">
        <v>182</v>
      </c>
      <c r="E31" s="149">
        <v>1696338033</v>
      </c>
      <c r="F31" s="126" t="s">
        <v>157</v>
      </c>
      <c r="G31" s="17"/>
      <c r="H31" s="45"/>
      <c r="I31" s="11"/>
      <c r="J31" s="11"/>
      <c r="K31" s="11"/>
      <c r="L31" s="17"/>
      <c r="M31" s="45"/>
      <c r="N31" s="95"/>
      <c r="O31" s="17"/>
      <c r="P31" s="17"/>
      <c r="Q31" s="17"/>
      <c r="R31" s="45"/>
    </row>
    <row r="32" spans="1:18" ht="17.25" customHeight="1" x14ac:dyDescent="0.25">
      <c r="A32" s="45">
        <v>30</v>
      </c>
      <c r="B32" s="16" t="s">
        <v>181</v>
      </c>
      <c r="C32" s="139" t="s">
        <v>180</v>
      </c>
      <c r="D32" s="135" t="s">
        <v>183</v>
      </c>
      <c r="E32" s="149">
        <v>1225754505</v>
      </c>
      <c r="F32" s="126" t="s">
        <v>184</v>
      </c>
      <c r="G32" s="17"/>
      <c r="H32" s="45"/>
      <c r="I32" s="11"/>
      <c r="J32" s="11"/>
      <c r="K32" s="11"/>
      <c r="L32" s="17"/>
      <c r="M32" s="45"/>
      <c r="N32" s="95"/>
      <c r="O32" s="17"/>
      <c r="P32" s="17"/>
      <c r="Q32" s="17"/>
      <c r="R32" s="45"/>
    </row>
    <row r="33" spans="1:18" ht="17.25" customHeight="1" x14ac:dyDescent="0.25">
      <c r="A33" s="45">
        <v>31</v>
      </c>
      <c r="B33" s="16" t="s">
        <v>185</v>
      </c>
      <c r="C33" s="141" t="s">
        <v>186</v>
      </c>
      <c r="D33" s="131" t="s">
        <v>189</v>
      </c>
      <c r="E33" s="147">
        <v>1672143822</v>
      </c>
      <c r="F33" s="17" t="s">
        <v>147</v>
      </c>
      <c r="G33" s="17"/>
      <c r="H33" s="45"/>
      <c r="I33" s="11"/>
      <c r="J33" s="11"/>
      <c r="K33" s="11"/>
      <c r="L33" s="17"/>
      <c r="M33" s="45"/>
      <c r="N33" s="95"/>
      <c r="O33" s="17"/>
      <c r="P33" s="17"/>
      <c r="Q33" s="17"/>
      <c r="R33" s="45"/>
    </row>
    <row r="34" spans="1:18" ht="17.25" customHeight="1" x14ac:dyDescent="0.25">
      <c r="A34" s="45">
        <v>32</v>
      </c>
      <c r="B34" s="16" t="s">
        <v>185</v>
      </c>
      <c r="C34" s="139" t="s">
        <v>187</v>
      </c>
      <c r="D34" s="135" t="s">
        <v>190</v>
      </c>
      <c r="E34" s="149" t="s">
        <v>192</v>
      </c>
      <c r="F34" s="126" t="s">
        <v>157</v>
      </c>
      <c r="G34" s="17"/>
      <c r="H34" s="45"/>
      <c r="I34" s="11"/>
      <c r="J34" s="11"/>
      <c r="K34" s="11"/>
      <c r="L34" s="17"/>
      <c r="M34" s="45"/>
      <c r="N34" s="95"/>
      <c r="O34" s="17"/>
      <c r="P34" s="17"/>
      <c r="Q34" s="17"/>
      <c r="R34" s="45"/>
    </row>
    <row r="35" spans="1:18" ht="17.25" customHeight="1" x14ac:dyDescent="0.25">
      <c r="A35" s="45">
        <v>33</v>
      </c>
      <c r="B35" s="16" t="s">
        <v>185</v>
      </c>
      <c r="C35" s="140" t="s">
        <v>188</v>
      </c>
      <c r="D35" s="136" t="s">
        <v>191</v>
      </c>
      <c r="E35" s="148" t="s">
        <v>193</v>
      </c>
      <c r="F35" s="128" t="s">
        <v>157</v>
      </c>
      <c r="G35" s="17"/>
      <c r="H35" s="45"/>
      <c r="I35" s="11"/>
      <c r="J35" s="11"/>
      <c r="K35" s="11"/>
      <c r="L35" s="17"/>
      <c r="M35" s="45"/>
      <c r="N35" s="95"/>
      <c r="O35" s="17"/>
      <c r="P35" s="17"/>
      <c r="Q35" s="17"/>
      <c r="R35" s="45"/>
    </row>
    <row r="36" spans="1:18" ht="17.25" customHeight="1" x14ac:dyDescent="0.25">
      <c r="A36" s="45">
        <v>34</v>
      </c>
      <c r="B36" s="16" t="s">
        <v>194</v>
      </c>
      <c r="C36" s="142" t="s">
        <v>195</v>
      </c>
      <c r="D36" s="135" t="s">
        <v>197</v>
      </c>
      <c r="E36" s="149">
        <v>933478652</v>
      </c>
      <c r="F36" s="126" t="s">
        <v>128</v>
      </c>
      <c r="G36" s="17"/>
      <c r="H36" s="45"/>
      <c r="I36" s="11"/>
      <c r="J36" s="11"/>
      <c r="K36" s="11"/>
      <c r="L36" s="17"/>
      <c r="M36" s="45"/>
      <c r="N36" s="95"/>
      <c r="O36" s="17"/>
      <c r="P36" s="17"/>
      <c r="Q36" s="17"/>
      <c r="R36" s="45"/>
    </row>
    <row r="37" spans="1:18" ht="17.25" customHeight="1" x14ac:dyDescent="0.25">
      <c r="A37" s="45">
        <v>35</v>
      </c>
      <c r="B37" s="16" t="s">
        <v>194</v>
      </c>
      <c r="C37" s="139" t="s">
        <v>196</v>
      </c>
      <c r="D37" s="133" t="s">
        <v>198</v>
      </c>
      <c r="E37" s="149">
        <v>1655003418</v>
      </c>
      <c r="F37" s="126" t="s">
        <v>147</v>
      </c>
      <c r="G37" s="17"/>
      <c r="H37" s="45"/>
      <c r="I37" s="11"/>
      <c r="J37" s="11"/>
      <c r="K37" s="11"/>
      <c r="L37" s="17"/>
      <c r="M37" s="45"/>
      <c r="N37" s="95"/>
      <c r="O37" s="17"/>
      <c r="P37" s="17"/>
      <c r="Q37" s="17"/>
      <c r="R37" s="45"/>
    </row>
    <row r="38" spans="1:18" ht="17.25" customHeight="1" x14ac:dyDescent="0.25">
      <c r="A38" s="45">
        <v>36</v>
      </c>
      <c r="B38" s="16" t="s">
        <v>199</v>
      </c>
      <c r="C38" s="142" t="s">
        <v>205</v>
      </c>
      <c r="D38" s="135" t="s">
        <v>200</v>
      </c>
      <c r="E38" s="149">
        <v>1638990838</v>
      </c>
      <c r="F38" s="126" t="s">
        <v>173</v>
      </c>
      <c r="G38" s="17"/>
      <c r="H38" s="45"/>
      <c r="I38" s="11"/>
      <c r="J38" s="11"/>
      <c r="K38" s="11"/>
      <c r="L38" s="17"/>
      <c r="M38" s="45"/>
      <c r="N38" s="95"/>
      <c r="O38" s="17"/>
      <c r="P38" s="17"/>
      <c r="Q38" s="17"/>
      <c r="R38" s="45"/>
    </row>
    <row r="39" spans="1:18" ht="17.25" customHeight="1" x14ac:dyDescent="0.25">
      <c r="A39" s="45">
        <v>37</v>
      </c>
      <c r="B39" s="16" t="s">
        <v>199</v>
      </c>
      <c r="C39" s="139" t="s">
        <v>206</v>
      </c>
      <c r="D39" s="135" t="s">
        <v>201</v>
      </c>
      <c r="E39" s="149">
        <v>924515119</v>
      </c>
      <c r="F39" s="126" t="s">
        <v>173</v>
      </c>
      <c r="G39" s="17"/>
      <c r="H39" s="45"/>
      <c r="I39" s="11"/>
      <c r="J39" s="11"/>
      <c r="K39" s="11"/>
      <c r="L39" s="17"/>
      <c r="M39" s="45"/>
      <c r="N39" s="95"/>
      <c r="O39" s="17"/>
      <c r="P39" s="17"/>
      <c r="Q39" s="17"/>
      <c r="R39" s="45"/>
    </row>
    <row r="40" spans="1:18" ht="17.25" customHeight="1" x14ac:dyDescent="0.25">
      <c r="A40" s="45">
        <v>38</v>
      </c>
      <c r="B40" s="16" t="s">
        <v>199</v>
      </c>
      <c r="C40" s="139" t="s">
        <v>207</v>
      </c>
      <c r="D40" s="135" t="s">
        <v>202</v>
      </c>
      <c r="E40" s="149">
        <v>1675945102</v>
      </c>
      <c r="F40" s="126" t="s">
        <v>157</v>
      </c>
      <c r="G40" s="17"/>
      <c r="H40" s="45"/>
      <c r="I40" s="11"/>
      <c r="J40" s="11"/>
      <c r="K40" s="11"/>
      <c r="L40" s="17"/>
      <c r="M40" s="45"/>
      <c r="N40" s="95"/>
      <c r="O40" s="17"/>
      <c r="P40" s="17"/>
      <c r="Q40" s="17"/>
      <c r="R40" s="45"/>
    </row>
    <row r="41" spans="1:18" ht="17.25" customHeight="1" x14ac:dyDescent="0.25">
      <c r="A41" s="45">
        <v>39</v>
      </c>
      <c r="B41" s="16" t="s">
        <v>199</v>
      </c>
      <c r="C41" s="140" t="s">
        <v>208</v>
      </c>
      <c r="D41" s="138" t="s">
        <v>203</v>
      </c>
      <c r="E41" s="148">
        <v>902203053</v>
      </c>
      <c r="F41" s="128" t="s">
        <v>184</v>
      </c>
      <c r="G41" s="17"/>
      <c r="H41" s="45"/>
      <c r="I41" s="11"/>
      <c r="J41" s="11"/>
      <c r="K41" s="11"/>
      <c r="L41" s="17"/>
      <c r="M41" s="45"/>
      <c r="N41" s="95"/>
      <c r="O41" s="17"/>
      <c r="P41" s="17"/>
      <c r="Q41" s="17"/>
      <c r="R41" s="45"/>
    </row>
    <row r="42" spans="1:18" ht="17.25" customHeight="1" x14ac:dyDescent="0.25">
      <c r="A42" s="45">
        <v>40</v>
      </c>
      <c r="B42" s="16" t="s">
        <v>199</v>
      </c>
      <c r="C42" s="141" t="s">
        <v>204</v>
      </c>
      <c r="D42" s="131" t="s">
        <v>209</v>
      </c>
      <c r="E42" s="147">
        <v>965308262</v>
      </c>
      <c r="F42" s="17" t="s">
        <v>157</v>
      </c>
      <c r="G42" s="17"/>
      <c r="H42" s="45"/>
      <c r="I42" s="11"/>
      <c r="J42" s="11"/>
      <c r="K42" s="11"/>
      <c r="L42" s="17"/>
      <c r="M42" s="45"/>
      <c r="N42" s="95"/>
      <c r="O42" s="17"/>
      <c r="P42" s="17"/>
      <c r="Q42" s="17"/>
      <c r="R42" s="45"/>
    </row>
    <row r="43" spans="1:18" ht="17.25" customHeight="1" x14ac:dyDescent="0.25">
      <c r="A43" s="45">
        <v>41</v>
      </c>
      <c r="B43" s="16" t="s">
        <v>210</v>
      </c>
      <c r="C43" s="139" t="s">
        <v>211</v>
      </c>
      <c r="D43" s="135" t="s">
        <v>216</v>
      </c>
      <c r="E43" s="149">
        <v>932359013</v>
      </c>
      <c r="F43" s="126" t="s">
        <v>157</v>
      </c>
      <c r="G43" s="17"/>
      <c r="H43" s="45"/>
      <c r="I43" s="11"/>
      <c r="J43" s="11"/>
      <c r="K43" s="11"/>
      <c r="L43" s="17"/>
      <c r="M43" s="45"/>
      <c r="N43" s="95"/>
      <c r="O43" s="17"/>
      <c r="P43" s="17"/>
      <c r="Q43" s="17"/>
      <c r="R43" s="45"/>
    </row>
    <row r="44" spans="1:18" ht="17.25" customHeight="1" x14ac:dyDescent="0.25">
      <c r="A44" s="45">
        <v>42</v>
      </c>
      <c r="B44" s="16" t="s">
        <v>210</v>
      </c>
      <c r="C44" s="139" t="s">
        <v>212</v>
      </c>
      <c r="D44" s="135" t="s">
        <v>217</v>
      </c>
      <c r="E44" s="149">
        <v>979733774</v>
      </c>
      <c r="F44" s="126" t="s">
        <v>117</v>
      </c>
      <c r="G44" s="17"/>
      <c r="H44" s="45"/>
      <c r="I44" s="11"/>
      <c r="J44" s="11"/>
      <c r="K44" s="11"/>
      <c r="L44" s="17"/>
      <c r="M44" s="45"/>
      <c r="N44" s="95"/>
      <c r="O44" s="17"/>
      <c r="P44" s="17"/>
      <c r="Q44" s="17"/>
      <c r="R44" s="45"/>
    </row>
    <row r="45" spans="1:18" ht="17.25" customHeight="1" x14ac:dyDescent="0.25">
      <c r="A45" s="45">
        <v>43</v>
      </c>
      <c r="B45" s="16" t="s">
        <v>210</v>
      </c>
      <c r="C45" s="140" t="s">
        <v>213</v>
      </c>
      <c r="D45" s="136" t="s">
        <v>218</v>
      </c>
      <c r="E45" s="148">
        <v>969724991</v>
      </c>
      <c r="F45" s="128" t="s">
        <v>157</v>
      </c>
      <c r="G45" s="17"/>
      <c r="H45" s="45"/>
      <c r="I45" s="11"/>
      <c r="J45" s="11"/>
      <c r="K45" s="11"/>
      <c r="L45" s="17"/>
      <c r="M45" s="45"/>
      <c r="N45" s="95"/>
      <c r="O45" s="17"/>
      <c r="P45" s="17"/>
      <c r="Q45" s="17"/>
      <c r="R45" s="45"/>
    </row>
    <row r="46" spans="1:18" ht="17.25" customHeight="1" x14ac:dyDescent="0.25">
      <c r="A46" s="45">
        <v>44</v>
      </c>
      <c r="B46" s="16" t="s">
        <v>210</v>
      </c>
      <c r="C46" s="139" t="s">
        <v>214</v>
      </c>
      <c r="D46" s="137" t="s">
        <v>219</v>
      </c>
      <c r="E46" s="150">
        <v>1638144573</v>
      </c>
      <c r="F46" s="128" t="s">
        <v>184</v>
      </c>
      <c r="G46" s="17"/>
      <c r="H46" s="45"/>
      <c r="I46" s="11"/>
      <c r="J46" s="11"/>
      <c r="K46" s="11"/>
      <c r="L46" s="17"/>
      <c r="M46" s="45"/>
      <c r="N46" s="95"/>
      <c r="O46" s="17"/>
      <c r="P46" s="17"/>
      <c r="Q46" s="17"/>
      <c r="R46" s="45"/>
    </row>
    <row r="47" spans="1:18" ht="17.25" customHeight="1" x14ac:dyDescent="0.25">
      <c r="A47" s="45">
        <v>45</v>
      </c>
      <c r="B47" s="16" t="s">
        <v>210</v>
      </c>
      <c r="C47" s="142" t="s">
        <v>215</v>
      </c>
      <c r="D47" s="137" t="s">
        <v>220</v>
      </c>
      <c r="E47" s="150">
        <v>907979899</v>
      </c>
      <c r="F47" s="128" t="s">
        <v>117</v>
      </c>
      <c r="G47" s="17"/>
      <c r="H47" s="45"/>
      <c r="I47" s="11"/>
      <c r="J47" s="11"/>
      <c r="K47" s="11"/>
      <c r="L47" s="17"/>
      <c r="M47" s="45"/>
      <c r="N47" s="95"/>
      <c r="O47" s="17"/>
      <c r="P47" s="17"/>
      <c r="Q47" s="17"/>
      <c r="R47" s="45"/>
    </row>
    <row r="48" spans="1:18" ht="17.25" customHeight="1" x14ac:dyDescent="0.25">
      <c r="A48" s="45">
        <v>46</v>
      </c>
      <c r="B48" s="16" t="s">
        <v>221</v>
      </c>
      <c r="C48" s="142" t="s">
        <v>222</v>
      </c>
      <c r="D48" s="135" t="s">
        <v>230</v>
      </c>
      <c r="E48" s="149">
        <v>1629835679</v>
      </c>
      <c r="F48" s="126" t="s">
        <v>238</v>
      </c>
      <c r="G48" s="17"/>
      <c r="H48" s="45"/>
      <c r="I48" s="11"/>
      <c r="J48" s="11"/>
      <c r="K48" s="11"/>
      <c r="L48" s="17"/>
      <c r="M48" s="45"/>
      <c r="N48" s="95"/>
      <c r="O48" s="17"/>
      <c r="P48" s="17"/>
      <c r="Q48" s="17"/>
      <c r="R48" s="45"/>
    </row>
    <row r="49" spans="1:18" ht="17.25" customHeight="1" x14ac:dyDescent="0.25">
      <c r="A49" s="45">
        <v>47</v>
      </c>
      <c r="B49" s="16" t="s">
        <v>221</v>
      </c>
      <c r="C49" s="139" t="s">
        <v>223</v>
      </c>
      <c r="D49" s="146" t="s">
        <v>231</v>
      </c>
      <c r="E49" s="149">
        <v>1224476665</v>
      </c>
      <c r="F49" s="126" t="s">
        <v>128</v>
      </c>
      <c r="G49" s="17"/>
      <c r="H49" s="45"/>
      <c r="I49" s="11"/>
      <c r="J49" s="11"/>
      <c r="K49" s="11"/>
      <c r="L49" s="17"/>
      <c r="M49" s="45"/>
      <c r="N49" s="95"/>
      <c r="O49" s="17"/>
      <c r="P49" s="17"/>
      <c r="Q49" s="17"/>
      <c r="R49" s="45"/>
    </row>
    <row r="50" spans="1:18" ht="17.25" customHeight="1" x14ac:dyDescent="0.25">
      <c r="A50" s="45">
        <v>48</v>
      </c>
      <c r="B50" s="16" t="s">
        <v>221</v>
      </c>
      <c r="C50" s="132" t="s">
        <v>224</v>
      </c>
      <c r="D50" s="136" t="s">
        <v>232</v>
      </c>
      <c r="E50" s="148" t="s">
        <v>229</v>
      </c>
      <c r="F50" s="128" t="s">
        <v>157</v>
      </c>
      <c r="G50" s="17"/>
      <c r="H50" s="45"/>
      <c r="I50" s="11"/>
      <c r="J50" s="11"/>
      <c r="K50" s="11"/>
      <c r="L50" s="17"/>
      <c r="M50" s="45"/>
      <c r="N50" s="95"/>
      <c r="O50" s="17"/>
      <c r="P50" s="17"/>
      <c r="Q50" s="17"/>
      <c r="R50" s="45"/>
    </row>
    <row r="51" spans="1:18" ht="17.25" customHeight="1" x14ac:dyDescent="0.25">
      <c r="A51" s="45">
        <v>49</v>
      </c>
      <c r="B51" s="16" t="s">
        <v>221</v>
      </c>
      <c r="C51" s="132" t="s">
        <v>224</v>
      </c>
      <c r="D51" s="137" t="s">
        <v>233</v>
      </c>
      <c r="E51" s="150" t="s">
        <v>229</v>
      </c>
      <c r="F51" s="128" t="s">
        <v>184</v>
      </c>
      <c r="G51" s="17"/>
      <c r="H51" s="45"/>
      <c r="I51" s="11"/>
      <c r="J51" s="11"/>
      <c r="K51" s="11"/>
      <c r="L51" s="17"/>
      <c r="M51" s="45"/>
      <c r="N51" s="95"/>
      <c r="O51" s="17"/>
      <c r="P51" s="17"/>
      <c r="Q51" s="17"/>
      <c r="R51" s="45"/>
    </row>
    <row r="52" spans="1:18" ht="17.25" customHeight="1" x14ac:dyDescent="0.25">
      <c r="A52" s="45">
        <v>50</v>
      </c>
      <c r="B52" s="16" t="s">
        <v>221</v>
      </c>
      <c r="C52" s="143" t="s">
        <v>225</v>
      </c>
      <c r="D52" s="133" t="s">
        <v>234</v>
      </c>
      <c r="E52" s="150">
        <v>1675519535</v>
      </c>
      <c r="F52" s="128" t="s">
        <v>157</v>
      </c>
      <c r="G52" s="17"/>
      <c r="H52" s="45"/>
      <c r="I52" s="11"/>
      <c r="J52" s="11"/>
      <c r="K52" s="11"/>
      <c r="L52" s="17"/>
      <c r="M52" s="45"/>
      <c r="N52" s="95"/>
      <c r="O52" s="17"/>
      <c r="P52" s="17"/>
      <c r="Q52" s="17"/>
      <c r="R52" s="45"/>
    </row>
    <row r="53" spans="1:18" ht="17.25" customHeight="1" x14ac:dyDescent="0.25">
      <c r="A53" s="45">
        <v>51</v>
      </c>
      <c r="B53" s="16" t="s">
        <v>221</v>
      </c>
      <c r="C53" s="142" t="s">
        <v>226</v>
      </c>
      <c r="D53" s="137" t="s">
        <v>235</v>
      </c>
      <c r="E53" s="150">
        <v>923392151</v>
      </c>
      <c r="F53" s="128" t="s">
        <v>173</v>
      </c>
      <c r="G53" s="17"/>
      <c r="H53" s="45"/>
      <c r="I53" s="11"/>
      <c r="J53" s="11"/>
      <c r="K53" s="11"/>
      <c r="L53" s="17"/>
      <c r="M53" s="45"/>
      <c r="N53" s="95"/>
      <c r="O53" s="17"/>
      <c r="P53" s="17"/>
      <c r="Q53" s="17"/>
      <c r="R53" s="45"/>
    </row>
    <row r="54" spans="1:18" ht="17.25" customHeight="1" x14ac:dyDescent="0.25">
      <c r="A54" s="45">
        <v>52</v>
      </c>
      <c r="B54" s="16" t="s">
        <v>221</v>
      </c>
      <c r="C54" s="132" t="s">
        <v>227</v>
      </c>
      <c r="D54" s="137" t="s">
        <v>236</v>
      </c>
      <c r="E54" s="150">
        <v>979297462</v>
      </c>
      <c r="F54" s="128" t="s">
        <v>173</v>
      </c>
      <c r="G54" s="17"/>
      <c r="H54" s="45"/>
      <c r="I54" s="11"/>
      <c r="J54" s="11"/>
      <c r="K54" s="11"/>
      <c r="L54" s="17"/>
      <c r="M54" s="45"/>
      <c r="N54" s="95"/>
      <c r="O54" s="17"/>
      <c r="P54" s="17"/>
      <c r="Q54" s="17"/>
      <c r="R54" s="45"/>
    </row>
    <row r="55" spans="1:18" ht="17.25" customHeight="1" x14ac:dyDescent="0.25">
      <c r="A55" s="45">
        <v>53</v>
      </c>
      <c r="B55" s="16" t="s">
        <v>221</v>
      </c>
      <c r="C55" s="132" t="s">
        <v>228</v>
      </c>
      <c r="D55" s="138" t="s">
        <v>237</v>
      </c>
      <c r="E55" s="150">
        <v>989119655</v>
      </c>
      <c r="F55" s="128" t="s">
        <v>238</v>
      </c>
      <c r="G55" s="17"/>
      <c r="H55" s="45"/>
      <c r="I55" s="11"/>
      <c r="J55" s="11"/>
      <c r="K55" s="11"/>
      <c r="L55" s="17"/>
      <c r="M55" s="45"/>
      <c r="N55" s="95"/>
      <c r="O55" s="17"/>
      <c r="P55" s="17"/>
      <c r="Q55" s="17"/>
      <c r="R55" s="45"/>
    </row>
    <row r="56" spans="1:18" ht="17.25" customHeight="1" x14ac:dyDescent="0.25">
      <c r="A56" s="45">
        <v>54</v>
      </c>
      <c r="B56" s="16" t="s">
        <v>239</v>
      </c>
      <c r="C56" s="144" t="s">
        <v>240</v>
      </c>
      <c r="D56" s="134" t="s">
        <v>241</v>
      </c>
      <c r="E56" s="147">
        <v>1672673726</v>
      </c>
      <c r="F56" s="17" t="s">
        <v>172</v>
      </c>
      <c r="G56" s="17"/>
      <c r="H56" s="45"/>
      <c r="I56" s="11"/>
      <c r="J56" s="11"/>
      <c r="K56" s="11"/>
      <c r="L56" s="17"/>
      <c r="M56" s="45"/>
      <c r="N56" s="95"/>
      <c r="O56" s="17"/>
      <c r="P56" s="17"/>
      <c r="Q56" s="17"/>
      <c r="R56" s="45"/>
    </row>
    <row r="57" spans="1:18" ht="17.25" customHeight="1" x14ac:dyDescent="0.25">
      <c r="A57" s="45">
        <v>55</v>
      </c>
      <c r="B57" s="16" t="s">
        <v>254</v>
      </c>
      <c r="C57" s="142" t="s">
        <v>242</v>
      </c>
      <c r="D57" s="135" t="s">
        <v>248</v>
      </c>
      <c r="E57" s="149">
        <v>1204904949</v>
      </c>
      <c r="F57" s="126" t="s">
        <v>238</v>
      </c>
      <c r="G57" s="17"/>
      <c r="H57" s="45"/>
      <c r="I57" s="11"/>
      <c r="J57" s="11"/>
      <c r="K57" s="11"/>
      <c r="L57" s="17"/>
      <c r="M57" s="45"/>
      <c r="N57" s="95"/>
      <c r="O57" s="17"/>
      <c r="P57" s="17"/>
      <c r="Q57" s="17"/>
      <c r="R57" s="45"/>
    </row>
    <row r="58" spans="1:18" ht="17.25" customHeight="1" x14ac:dyDescent="0.25">
      <c r="A58" s="45">
        <v>56</v>
      </c>
      <c r="B58" s="16" t="s">
        <v>254</v>
      </c>
      <c r="C58" s="139" t="s">
        <v>243</v>
      </c>
      <c r="D58" s="135" t="s">
        <v>249</v>
      </c>
      <c r="E58" s="149">
        <v>1679499518</v>
      </c>
      <c r="F58" s="126" t="s">
        <v>184</v>
      </c>
      <c r="G58" s="17"/>
      <c r="H58" s="45"/>
      <c r="I58" s="11"/>
      <c r="J58" s="11"/>
      <c r="K58" s="11"/>
      <c r="L58" s="17"/>
      <c r="M58" s="45"/>
      <c r="N58" s="95"/>
      <c r="O58" s="17"/>
      <c r="P58" s="17"/>
      <c r="Q58" s="17"/>
      <c r="R58" s="45"/>
    </row>
    <row r="59" spans="1:18" ht="17.25" customHeight="1" x14ac:dyDescent="0.25">
      <c r="A59" s="45">
        <v>57</v>
      </c>
      <c r="B59" s="16" t="s">
        <v>254</v>
      </c>
      <c r="C59" s="139" t="s">
        <v>244</v>
      </c>
      <c r="D59" s="135" t="s">
        <v>250</v>
      </c>
      <c r="E59" s="149">
        <v>942601008</v>
      </c>
      <c r="F59" s="126" t="s">
        <v>184</v>
      </c>
      <c r="G59" s="17"/>
      <c r="H59" s="45"/>
      <c r="I59" s="11"/>
      <c r="J59" s="11"/>
      <c r="K59" s="11"/>
      <c r="L59" s="17"/>
      <c r="M59" s="45"/>
      <c r="N59" s="95"/>
      <c r="O59" s="17"/>
      <c r="P59" s="17"/>
      <c r="Q59" s="17"/>
      <c r="R59" s="45"/>
    </row>
    <row r="60" spans="1:18" ht="17.25" customHeight="1" x14ac:dyDescent="0.25">
      <c r="A60" s="45">
        <v>58</v>
      </c>
      <c r="B60" s="16" t="s">
        <v>254</v>
      </c>
      <c r="C60" s="140" t="s">
        <v>245</v>
      </c>
      <c r="D60" s="136" t="s">
        <v>251</v>
      </c>
      <c r="E60" s="148">
        <v>1659038689</v>
      </c>
      <c r="F60" s="128" t="s">
        <v>157</v>
      </c>
      <c r="G60" s="17"/>
      <c r="H60" s="45"/>
      <c r="I60" s="11"/>
      <c r="J60" s="11"/>
      <c r="K60" s="11"/>
      <c r="L60" s="17"/>
      <c r="M60" s="45"/>
      <c r="N60" s="95"/>
      <c r="O60" s="17"/>
      <c r="P60" s="17"/>
      <c r="Q60" s="17"/>
      <c r="R60" s="45"/>
    </row>
    <row r="61" spans="1:18" ht="17.25" customHeight="1" x14ac:dyDescent="0.25">
      <c r="A61" s="45">
        <v>59</v>
      </c>
      <c r="B61" s="16" t="s">
        <v>254</v>
      </c>
      <c r="C61" s="140" t="s">
        <v>245</v>
      </c>
      <c r="D61" s="137" t="s">
        <v>251</v>
      </c>
      <c r="E61" s="150">
        <v>1659038689</v>
      </c>
      <c r="F61" s="128" t="s">
        <v>184</v>
      </c>
      <c r="G61" s="17"/>
      <c r="H61" s="45"/>
      <c r="I61" s="11"/>
      <c r="J61" s="11"/>
      <c r="K61" s="11"/>
      <c r="L61" s="17"/>
      <c r="M61" s="45"/>
      <c r="N61" s="95"/>
      <c r="O61" s="17"/>
      <c r="P61" s="17"/>
      <c r="Q61" s="17"/>
      <c r="R61" s="45"/>
    </row>
    <row r="62" spans="1:18" ht="17.25" customHeight="1" x14ac:dyDescent="0.25">
      <c r="A62" s="45">
        <v>60</v>
      </c>
      <c r="B62" s="16" t="s">
        <v>254</v>
      </c>
      <c r="C62" s="142" t="s">
        <v>246</v>
      </c>
      <c r="D62" s="137" t="s">
        <v>252</v>
      </c>
      <c r="E62" s="150">
        <v>1664427372</v>
      </c>
      <c r="F62" s="128" t="s">
        <v>157</v>
      </c>
      <c r="G62" s="17"/>
      <c r="H62" s="45"/>
      <c r="I62" s="11"/>
      <c r="J62" s="11"/>
      <c r="K62" s="11"/>
      <c r="L62" s="17"/>
      <c r="M62" s="45"/>
      <c r="N62" s="95"/>
      <c r="O62" s="17"/>
      <c r="P62" s="17"/>
      <c r="Q62" s="17"/>
      <c r="R62" s="45"/>
    </row>
    <row r="63" spans="1:18" ht="17.25" customHeight="1" x14ac:dyDescent="0.25">
      <c r="A63" s="45">
        <v>61</v>
      </c>
      <c r="B63" s="16" t="s">
        <v>254</v>
      </c>
      <c r="C63" s="132" t="s">
        <v>247</v>
      </c>
      <c r="D63" s="138" t="s">
        <v>253</v>
      </c>
      <c r="E63" s="150">
        <v>949197110</v>
      </c>
      <c r="F63" s="128" t="s">
        <v>157</v>
      </c>
      <c r="G63" s="17"/>
      <c r="H63" s="45"/>
      <c r="I63" s="11"/>
      <c r="J63" s="11"/>
      <c r="K63" s="11"/>
      <c r="L63" s="17"/>
      <c r="M63" s="45"/>
      <c r="N63" s="95"/>
      <c r="O63" s="17"/>
      <c r="P63" s="17"/>
      <c r="Q63" s="17"/>
      <c r="R63" s="45"/>
    </row>
    <row r="64" spans="1:18" ht="17.25" customHeight="1" x14ac:dyDescent="0.25">
      <c r="A64" s="45">
        <v>62</v>
      </c>
      <c r="B64" s="16" t="s">
        <v>255</v>
      </c>
      <c r="C64" s="142" t="s">
        <v>256</v>
      </c>
      <c r="D64" s="135" t="s">
        <v>262</v>
      </c>
      <c r="E64" s="149">
        <v>1658082220</v>
      </c>
      <c r="F64" s="126" t="s">
        <v>238</v>
      </c>
      <c r="G64" s="17"/>
      <c r="H64" s="45"/>
      <c r="I64" s="11"/>
      <c r="J64" s="11"/>
      <c r="K64" s="11"/>
      <c r="L64" s="17"/>
      <c r="M64" s="45"/>
      <c r="N64" s="95"/>
      <c r="O64" s="17"/>
      <c r="P64" s="17"/>
      <c r="Q64" s="17"/>
      <c r="R64" s="45"/>
    </row>
    <row r="65" spans="1:18" ht="17.25" customHeight="1" x14ac:dyDescent="0.25">
      <c r="A65" s="45">
        <v>63</v>
      </c>
      <c r="B65" s="16" t="s">
        <v>255</v>
      </c>
      <c r="C65" s="139" t="s">
        <v>257</v>
      </c>
      <c r="D65" s="135" t="s">
        <v>263</v>
      </c>
      <c r="E65" s="149">
        <v>973273853</v>
      </c>
      <c r="F65" s="126" t="s">
        <v>157</v>
      </c>
      <c r="G65" s="17"/>
      <c r="H65" s="45"/>
      <c r="I65" s="11"/>
      <c r="J65" s="11"/>
      <c r="K65" s="11"/>
      <c r="L65" s="17"/>
      <c r="M65" s="45"/>
      <c r="N65" s="95"/>
      <c r="O65" s="17"/>
      <c r="P65" s="17"/>
      <c r="Q65" s="17"/>
      <c r="R65" s="45"/>
    </row>
    <row r="66" spans="1:18" ht="17.25" customHeight="1" x14ac:dyDescent="0.25">
      <c r="A66" s="45">
        <v>64</v>
      </c>
      <c r="B66" s="16" t="s">
        <v>255</v>
      </c>
      <c r="C66" s="142" t="s">
        <v>258</v>
      </c>
      <c r="D66" s="135" t="s">
        <v>264</v>
      </c>
      <c r="E66" s="150" t="s">
        <v>261</v>
      </c>
      <c r="F66" s="126" t="s">
        <v>157</v>
      </c>
      <c r="G66" s="17"/>
      <c r="H66" s="45"/>
      <c r="I66" s="11"/>
      <c r="J66" s="11"/>
      <c r="K66" s="11"/>
      <c r="L66" s="17"/>
      <c r="M66" s="45"/>
      <c r="N66" s="95"/>
      <c r="O66" s="17"/>
      <c r="P66" s="17"/>
      <c r="Q66" s="17"/>
      <c r="R66" s="45"/>
    </row>
    <row r="67" spans="1:18" ht="17.25" customHeight="1" x14ac:dyDescent="0.25">
      <c r="A67" s="45">
        <v>65</v>
      </c>
      <c r="B67" s="16" t="s">
        <v>255</v>
      </c>
      <c r="C67" s="142" t="s">
        <v>258</v>
      </c>
      <c r="D67" s="137" t="s">
        <v>264</v>
      </c>
      <c r="E67" s="151" t="s">
        <v>261</v>
      </c>
      <c r="F67" s="128" t="s">
        <v>184</v>
      </c>
      <c r="G67" s="17"/>
      <c r="H67" s="45"/>
      <c r="I67" s="11"/>
      <c r="J67" s="11"/>
      <c r="K67" s="11"/>
      <c r="L67" s="17"/>
      <c r="M67" s="45"/>
      <c r="N67" s="95"/>
      <c r="O67" s="17"/>
      <c r="P67" s="17"/>
      <c r="Q67" s="17"/>
      <c r="R67" s="45"/>
    </row>
    <row r="68" spans="1:18" ht="17.25" customHeight="1" x14ac:dyDescent="0.25">
      <c r="A68" s="45">
        <v>66</v>
      </c>
      <c r="B68" s="16" t="s">
        <v>255</v>
      </c>
      <c r="C68" s="139" t="s">
        <v>259</v>
      </c>
      <c r="D68" s="137" t="s">
        <v>265</v>
      </c>
      <c r="E68" s="150">
        <v>1639581920</v>
      </c>
      <c r="F68" s="128" t="s">
        <v>157</v>
      </c>
      <c r="G68" s="17"/>
      <c r="H68" s="45"/>
      <c r="I68" s="11"/>
      <c r="J68" s="11"/>
      <c r="K68" s="11"/>
      <c r="L68" s="17"/>
      <c r="M68" s="45"/>
      <c r="N68" s="95"/>
      <c r="O68" s="17"/>
      <c r="P68" s="17"/>
      <c r="Q68" s="17"/>
      <c r="R68" s="45"/>
    </row>
    <row r="69" spans="1:18" ht="17.25" customHeight="1" x14ac:dyDescent="0.25">
      <c r="A69" s="45">
        <v>67</v>
      </c>
      <c r="B69" s="16" t="s">
        <v>255</v>
      </c>
      <c r="C69" s="142" t="s">
        <v>260</v>
      </c>
      <c r="D69" s="137" t="s">
        <v>266</v>
      </c>
      <c r="E69" s="150">
        <v>1677638815</v>
      </c>
      <c r="F69" s="128" t="s">
        <v>157</v>
      </c>
      <c r="G69" s="17"/>
      <c r="H69" s="45"/>
      <c r="I69" s="11"/>
      <c r="J69" s="11"/>
      <c r="K69" s="11"/>
      <c r="L69" s="17"/>
      <c r="M69" s="45"/>
      <c r="N69" s="95"/>
      <c r="O69" s="17"/>
      <c r="P69" s="17"/>
      <c r="Q69" s="17"/>
      <c r="R69" s="45"/>
    </row>
    <row r="70" spans="1:18" ht="17.25" customHeight="1" x14ac:dyDescent="0.25">
      <c r="A70" s="45">
        <v>68</v>
      </c>
      <c r="B70" s="16" t="s">
        <v>267</v>
      </c>
      <c r="C70" s="142" t="s">
        <v>168</v>
      </c>
      <c r="D70" s="135" t="s">
        <v>275</v>
      </c>
      <c r="E70" s="149">
        <v>934057933</v>
      </c>
      <c r="F70" s="126" t="s">
        <v>173</v>
      </c>
      <c r="G70" s="17"/>
      <c r="H70" s="45"/>
      <c r="I70" s="11"/>
      <c r="J70" s="11"/>
      <c r="K70" s="11"/>
      <c r="L70" s="17"/>
      <c r="M70" s="45"/>
      <c r="N70" s="95"/>
      <c r="O70" s="17"/>
      <c r="P70" s="17"/>
      <c r="Q70" s="17"/>
      <c r="R70" s="45"/>
    </row>
    <row r="71" spans="1:18" ht="17.25" customHeight="1" x14ac:dyDescent="0.25">
      <c r="A71" s="45">
        <v>69</v>
      </c>
      <c r="B71" s="16" t="s">
        <v>267</v>
      </c>
      <c r="C71" s="139" t="s">
        <v>268</v>
      </c>
      <c r="D71" s="135" t="s">
        <v>276</v>
      </c>
      <c r="E71" s="149">
        <v>906065939</v>
      </c>
      <c r="F71" s="126" t="s">
        <v>117</v>
      </c>
      <c r="G71" s="17"/>
      <c r="H71" s="45"/>
      <c r="I71" s="11"/>
      <c r="J71" s="11"/>
      <c r="K71" s="11"/>
      <c r="L71" s="17"/>
      <c r="M71" s="45"/>
      <c r="N71" s="95"/>
      <c r="O71" s="17"/>
      <c r="P71" s="17"/>
      <c r="Q71" s="17"/>
      <c r="R71" s="45"/>
    </row>
    <row r="72" spans="1:18" ht="17.25" customHeight="1" x14ac:dyDescent="0.25">
      <c r="A72" s="45">
        <v>70</v>
      </c>
      <c r="B72" s="16" t="s">
        <v>267</v>
      </c>
      <c r="C72" s="139" t="s">
        <v>269</v>
      </c>
      <c r="D72" s="135" t="s">
        <v>277</v>
      </c>
      <c r="E72" s="150">
        <v>908984900</v>
      </c>
      <c r="F72" s="126" t="s">
        <v>184</v>
      </c>
      <c r="G72" s="17"/>
      <c r="H72" s="45"/>
      <c r="I72" s="11"/>
      <c r="J72" s="11"/>
      <c r="K72" s="11"/>
      <c r="L72" s="17"/>
      <c r="M72" s="45"/>
      <c r="N72" s="95"/>
      <c r="O72" s="17"/>
      <c r="P72" s="17"/>
      <c r="Q72" s="17"/>
      <c r="R72" s="45"/>
    </row>
    <row r="73" spans="1:18" ht="17.25" customHeight="1" x14ac:dyDescent="0.25">
      <c r="A73" s="45">
        <v>71</v>
      </c>
      <c r="B73" s="16" t="s">
        <v>267</v>
      </c>
      <c r="C73" s="142" t="s">
        <v>188</v>
      </c>
      <c r="D73" s="137" t="s">
        <v>191</v>
      </c>
      <c r="E73" s="148" t="s">
        <v>273</v>
      </c>
      <c r="F73" s="128" t="s">
        <v>157</v>
      </c>
      <c r="G73" s="17"/>
      <c r="H73" s="45"/>
      <c r="I73" s="11"/>
      <c r="J73" s="11"/>
      <c r="K73" s="11"/>
      <c r="L73" s="17"/>
      <c r="M73" s="45"/>
      <c r="N73" s="95"/>
      <c r="O73" s="17"/>
      <c r="P73" s="17"/>
      <c r="Q73" s="17"/>
      <c r="R73" s="45"/>
    </row>
    <row r="74" spans="1:18" ht="17.25" customHeight="1" x14ac:dyDescent="0.25">
      <c r="A74" s="45">
        <v>72</v>
      </c>
      <c r="B74" s="16" t="s">
        <v>267</v>
      </c>
      <c r="C74" s="139" t="s">
        <v>272</v>
      </c>
      <c r="D74" s="137" t="s">
        <v>278</v>
      </c>
      <c r="E74" s="150">
        <v>975599734</v>
      </c>
      <c r="F74" s="128" t="s">
        <v>173</v>
      </c>
      <c r="G74" s="17"/>
      <c r="H74" s="45"/>
      <c r="I74" s="11"/>
      <c r="J74" s="11"/>
      <c r="K74" s="11"/>
      <c r="L74" s="17"/>
      <c r="M74" s="45"/>
      <c r="N74" s="95"/>
      <c r="O74" s="17"/>
      <c r="P74" s="17"/>
      <c r="Q74" s="17"/>
      <c r="R74" s="45"/>
    </row>
    <row r="75" spans="1:18" ht="17.25" customHeight="1" x14ac:dyDescent="0.25">
      <c r="A75" s="45">
        <v>73</v>
      </c>
      <c r="B75" s="16" t="s">
        <v>267</v>
      </c>
      <c r="C75" s="142" t="s">
        <v>270</v>
      </c>
      <c r="D75" s="137" t="s">
        <v>279</v>
      </c>
      <c r="E75" s="150">
        <v>938803595</v>
      </c>
      <c r="F75" s="128" t="s">
        <v>274</v>
      </c>
      <c r="G75" s="17"/>
      <c r="H75" s="45"/>
      <c r="I75" s="11"/>
      <c r="J75" s="11"/>
      <c r="K75" s="11"/>
      <c r="L75" s="17"/>
      <c r="M75" s="45"/>
      <c r="N75" s="95"/>
      <c r="O75" s="17"/>
      <c r="P75" s="17"/>
      <c r="Q75" s="17"/>
      <c r="R75" s="45"/>
    </row>
    <row r="76" spans="1:18" ht="17.25" customHeight="1" x14ac:dyDescent="0.25">
      <c r="A76" s="45">
        <v>74</v>
      </c>
      <c r="B76" s="16" t="s">
        <v>267</v>
      </c>
      <c r="C76" s="142" t="s">
        <v>271</v>
      </c>
      <c r="D76" s="133" t="s">
        <v>280</v>
      </c>
      <c r="E76" s="150">
        <v>963228583</v>
      </c>
      <c r="F76" s="128" t="s">
        <v>157</v>
      </c>
      <c r="G76" s="17"/>
      <c r="H76" s="45"/>
      <c r="I76" s="11"/>
      <c r="J76" s="11"/>
      <c r="K76" s="11"/>
      <c r="L76" s="17"/>
      <c r="M76" s="45"/>
      <c r="N76" s="95"/>
      <c r="O76" s="17"/>
      <c r="P76" s="17"/>
      <c r="Q76" s="17"/>
      <c r="R76" s="45"/>
    </row>
    <row r="77" spans="1:18" ht="17.25" customHeight="1" x14ac:dyDescent="0.25">
      <c r="A77" s="45">
        <v>75</v>
      </c>
      <c r="B77" s="16" t="s">
        <v>281</v>
      </c>
      <c r="C77" s="139" t="s">
        <v>284</v>
      </c>
      <c r="D77" s="135" t="s">
        <v>285</v>
      </c>
      <c r="E77" s="149">
        <v>918178373</v>
      </c>
      <c r="F77" s="126" t="s">
        <v>173</v>
      </c>
      <c r="G77" s="17"/>
      <c r="H77" s="45"/>
      <c r="I77" s="11"/>
      <c r="J77" s="11"/>
      <c r="K77" s="11"/>
      <c r="L77" s="17"/>
      <c r="M77" s="45"/>
      <c r="N77" s="95"/>
      <c r="O77" s="17"/>
      <c r="P77" s="17"/>
      <c r="Q77" s="17"/>
      <c r="R77" s="45"/>
    </row>
    <row r="78" spans="1:18" ht="17.25" customHeight="1" x14ac:dyDescent="0.25">
      <c r="A78" s="45">
        <v>76</v>
      </c>
      <c r="B78" s="16" t="s">
        <v>281</v>
      </c>
      <c r="C78" s="140" t="s">
        <v>282</v>
      </c>
      <c r="D78" s="135" t="s">
        <v>286</v>
      </c>
      <c r="E78" s="149">
        <v>982396458</v>
      </c>
      <c r="F78" s="126" t="s">
        <v>121</v>
      </c>
      <c r="G78" s="17"/>
      <c r="H78" s="45"/>
      <c r="I78" s="11"/>
      <c r="J78" s="11"/>
      <c r="K78" s="11"/>
      <c r="L78" s="17"/>
      <c r="M78" s="45"/>
      <c r="N78" s="95"/>
      <c r="O78" s="17"/>
      <c r="P78" s="17"/>
      <c r="Q78" s="17"/>
      <c r="R78" s="45"/>
    </row>
    <row r="79" spans="1:18" ht="17.25" customHeight="1" x14ac:dyDescent="0.25">
      <c r="A79" s="45">
        <v>77</v>
      </c>
      <c r="B79" s="16" t="s">
        <v>281</v>
      </c>
      <c r="C79" s="139" t="s">
        <v>283</v>
      </c>
      <c r="D79" s="137" t="s">
        <v>287</v>
      </c>
      <c r="E79" s="150">
        <v>982291056</v>
      </c>
      <c r="F79" s="126" t="s">
        <v>157</v>
      </c>
      <c r="G79" s="17"/>
      <c r="H79" s="45"/>
      <c r="I79" s="11"/>
      <c r="J79" s="11"/>
      <c r="K79" s="11"/>
      <c r="L79" s="17"/>
      <c r="M79" s="45"/>
      <c r="N79" s="95"/>
      <c r="O79" s="17"/>
      <c r="P79" s="17"/>
      <c r="Q79" s="17"/>
      <c r="R79" s="45"/>
    </row>
    <row r="80" spans="1:18" ht="17.25" customHeight="1" x14ac:dyDescent="0.25">
      <c r="A80" s="45">
        <v>78</v>
      </c>
      <c r="B80" s="16" t="s">
        <v>281</v>
      </c>
      <c r="C80" s="140" t="s">
        <v>283</v>
      </c>
      <c r="D80" s="137" t="s">
        <v>287</v>
      </c>
      <c r="E80" s="150">
        <v>982291056</v>
      </c>
      <c r="F80" s="128" t="s">
        <v>184</v>
      </c>
      <c r="G80" s="17"/>
      <c r="H80" s="45"/>
      <c r="I80" s="11"/>
      <c r="J80" s="11"/>
      <c r="K80" s="11"/>
      <c r="L80" s="17"/>
      <c r="M80" s="45"/>
      <c r="N80" s="95"/>
      <c r="O80" s="17"/>
      <c r="P80" s="17"/>
      <c r="Q80" s="17"/>
      <c r="R80" s="45"/>
    </row>
    <row r="81" spans="1:18" ht="17.25" customHeight="1" x14ac:dyDescent="0.25">
      <c r="A81" s="45">
        <v>79</v>
      </c>
      <c r="B81" s="16" t="s">
        <v>290</v>
      </c>
      <c r="C81" s="132" t="s">
        <v>288</v>
      </c>
      <c r="D81" s="138" t="s">
        <v>291</v>
      </c>
      <c r="E81" s="149">
        <v>1682156988</v>
      </c>
      <c r="F81" s="126" t="s">
        <v>173</v>
      </c>
      <c r="G81" s="17"/>
      <c r="H81" s="45"/>
      <c r="I81" s="11"/>
      <c r="J81" s="11"/>
      <c r="K81" s="11"/>
      <c r="L81" s="17"/>
      <c r="M81" s="45"/>
      <c r="N81" s="45"/>
      <c r="O81" s="17"/>
      <c r="P81" s="17"/>
      <c r="Q81" s="17"/>
      <c r="R81" s="45"/>
    </row>
    <row r="82" spans="1:18" ht="17.25" customHeight="1" x14ac:dyDescent="0.25">
      <c r="A82" s="45">
        <v>80</v>
      </c>
      <c r="B82" s="16" t="s">
        <v>290</v>
      </c>
      <c r="C82" s="132" t="s">
        <v>289</v>
      </c>
      <c r="D82" s="138" t="s">
        <v>292</v>
      </c>
      <c r="E82" s="149">
        <v>971065152</v>
      </c>
      <c r="F82" s="126" t="s">
        <v>238</v>
      </c>
      <c r="G82" s="17"/>
      <c r="H82" s="45"/>
      <c r="I82" s="11"/>
      <c r="J82" s="11"/>
      <c r="K82" s="11"/>
      <c r="L82" s="17"/>
      <c r="M82" s="45"/>
      <c r="N82" s="45"/>
      <c r="O82" s="17"/>
      <c r="P82" s="17"/>
      <c r="Q82" s="17"/>
      <c r="R82" s="45"/>
    </row>
    <row r="83" spans="1:18" ht="17.25" customHeight="1" x14ac:dyDescent="0.25">
      <c r="A83" s="53">
        <v>81</v>
      </c>
      <c r="B83" s="124"/>
      <c r="C83" s="52"/>
      <c r="D83" s="53"/>
      <c r="E83" s="51"/>
      <c r="F83" s="125"/>
      <c r="G83" s="51"/>
      <c r="H83" s="53"/>
      <c r="I83" s="11"/>
      <c r="J83" s="11"/>
      <c r="K83" s="11"/>
      <c r="L83" s="17"/>
      <c r="M83" s="45"/>
      <c r="N83" s="45"/>
      <c r="O83" s="17"/>
      <c r="P83" s="17"/>
      <c r="Q83" s="17"/>
      <c r="R83" s="45"/>
    </row>
    <row r="84" spans="1:18" ht="17.25" customHeight="1" x14ac:dyDescent="0.25">
      <c r="A84" s="45">
        <v>82</v>
      </c>
      <c r="B84" s="20"/>
      <c r="C84" s="36"/>
      <c r="D84" s="36"/>
      <c r="E84" s="36"/>
      <c r="F84" s="37"/>
      <c r="G84" s="21"/>
      <c r="H84" s="46"/>
      <c r="I84" s="11"/>
      <c r="J84" s="11"/>
      <c r="K84" s="11"/>
      <c r="L84" s="21"/>
      <c r="M84" s="46"/>
      <c r="N84" s="46"/>
      <c r="O84" s="21"/>
      <c r="P84" s="21"/>
      <c r="Q84" s="21"/>
      <c r="R84" s="46"/>
    </row>
    <row r="85" spans="1:18" x14ac:dyDescent="0.25">
      <c r="A85" s="19"/>
      <c r="B85" s="103" t="s">
        <v>72</v>
      </c>
      <c r="C85" s="104" t="s">
        <v>72</v>
      </c>
      <c r="D85" s="104" t="s">
        <v>72</v>
      </c>
      <c r="E85" s="104" t="s">
        <v>72</v>
      </c>
      <c r="F85" s="105" t="s">
        <v>72</v>
      </c>
      <c r="G85" s="106" t="s">
        <v>72</v>
      </c>
      <c r="H85" s="107"/>
      <c r="I85" s="11"/>
      <c r="J85" s="11"/>
      <c r="K85" s="11"/>
      <c r="L85" s="48" t="s">
        <v>72</v>
      </c>
      <c r="M85" s="38" t="s">
        <v>72</v>
      </c>
      <c r="N85" s="38" t="s">
        <v>72</v>
      </c>
      <c r="O85" s="38" t="s">
        <v>72</v>
      </c>
      <c r="P85" s="39" t="s">
        <v>72</v>
      </c>
      <c r="Q85" s="15" t="s">
        <v>72</v>
      </c>
      <c r="R85" s="19"/>
    </row>
    <row r="86" spans="1:18" s="43" customFormat="1" ht="14.25" x14ac:dyDescent="0.2">
      <c r="A86" s="50"/>
      <c r="B86" s="49"/>
      <c r="C86" s="41" t="s">
        <v>71</v>
      </c>
      <c r="D86" s="41"/>
      <c r="E86" s="41"/>
      <c r="F86" s="42"/>
      <c r="G86" s="47">
        <f>SUM(G3:G84)</f>
        <v>0</v>
      </c>
      <c r="H86" s="50"/>
      <c r="L86" s="49"/>
      <c r="M86" s="41" t="s">
        <v>71</v>
      </c>
      <c r="N86" s="41"/>
      <c r="O86" s="41"/>
      <c r="P86" s="42"/>
      <c r="Q86" s="47">
        <f>SUM(Q3:Q84)</f>
        <v>7</v>
      </c>
      <c r="R86" s="50"/>
    </row>
    <row r="87" spans="1:18" x14ac:dyDescent="0.25">
      <c r="B87" s="22"/>
      <c r="C87" s="23"/>
      <c r="D87" s="23"/>
      <c r="E87" s="23"/>
      <c r="F87" s="40"/>
    </row>
    <row r="88" spans="1:18" ht="15.75" thickBot="1" x14ac:dyDescent="0.3">
      <c r="B88" s="22"/>
      <c r="C88" s="23"/>
      <c r="D88" s="23"/>
      <c r="E88" s="23"/>
    </row>
    <row r="89" spans="1:18" x14ac:dyDescent="0.25">
      <c r="B89" s="22"/>
      <c r="C89" s="13" t="s">
        <v>55</v>
      </c>
      <c r="D89" s="12" t="s">
        <v>13</v>
      </c>
      <c r="E89" s="12" t="s">
        <v>56</v>
      </c>
      <c r="F89" s="14" t="s">
        <v>15</v>
      </c>
    </row>
    <row r="90" spans="1:18" x14ac:dyDescent="0.25">
      <c r="B90" s="22"/>
      <c r="C90" s="24" t="s">
        <v>57</v>
      </c>
      <c r="D90" s="25">
        <f>G86</f>
        <v>0</v>
      </c>
      <c r="E90" s="26">
        <v>20000</v>
      </c>
      <c r="F90" s="27">
        <f>D90*E90</f>
        <v>0</v>
      </c>
    </row>
    <row r="91" spans="1:18" x14ac:dyDescent="0.25">
      <c r="B91" s="22"/>
      <c r="C91" s="24" t="s">
        <v>58</v>
      </c>
      <c r="D91" s="25">
        <f>Q86</f>
        <v>7</v>
      </c>
      <c r="E91" s="26">
        <v>20000</v>
      </c>
      <c r="F91" s="27">
        <f>D91*E91</f>
        <v>140000</v>
      </c>
    </row>
    <row r="92" spans="1:18" ht="15.75" thickBot="1" x14ac:dyDescent="0.3">
      <c r="B92" s="22"/>
      <c r="C92" s="96" t="s">
        <v>78</v>
      </c>
      <c r="D92" s="97">
        <f>D90-D91</f>
        <v>-7</v>
      </c>
      <c r="E92" s="98">
        <v>20000</v>
      </c>
      <c r="F92" s="99">
        <f>SUM(F90:F91)</f>
        <v>140000</v>
      </c>
    </row>
    <row r="93" spans="1:18" x14ac:dyDescent="0.25">
      <c r="B93" s="22"/>
      <c r="C93" s="23"/>
      <c r="D93" s="23"/>
      <c r="E93" s="23"/>
      <c r="F93" s="28"/>
    </row>
    <row r="94" spans="1:18" x14ac:dyDescent="0.25">
      <c r="B94" s="22"/>
      <c r="C94" s="23"/>
      <c r="D94" s="23"/>
      <c r="E94" s="23"/>
    </row>
    <row r="95" spans="1:18" x14ac:dyDescent="0.25">
      <c r="B95" s="22"/>
      <c r="C95" s="23"/>
      <c r="D95" s="23"/>
      <c r="E95" s="23"/>
    </row>
    <row r="96" spans="1:18" x14ac:dyDescent="0.25">
      <c r="B96" s="22"/>
      <c r="C96" s="23"/>
      <c r="D96" s="23"/>
      <c r="E96" s="23"/>
    </row>
    <row r="97" spans="2:15" x14ac:dyDescent="0.25">
      <c r="B97" s="22"/>
      <c r="C97" s="23"/>
      <c r="D97" s="23"/>
      <c r="E97" s="23"/>
    </row>
    <row r="98" spans="2:15" x14ac:dyDescent="0.25">
      <c r="B98" s="22"/>
      <c r="C98" s="23"/>
      <c r="D98" s="23"/>
      <c r="E98" s="23"/>
    </row>
    <row r="99" spans="2:15" x14ac:dyDescent="0.25">
      <c r="B99" s="22"/>
      <c r="C99" s="23"/>
      <c r="D99" s="23"/>
      <c r="E99" s="23"/>
    </row>
    <row r="100" spans="2:15" x14ac:dyDescent="0.25">
      <c r="B100" s="22"/>
      <c r="C100" s="23"/>
      <c r="D100" s="23"/>
      <c r="E100" s="23"/>
    </row>
    <row r="101" spans="2:15" x14ac:dyDescent="0.25">
      <c r="B101" s="22"/>
      <c r="C101" s="23"/>
      <c r="D101" s="23"/>
      <c r="E101" s="23"/>
    </row>
    <row r="102" spans="2:15" s="29" customFormat="1" x14ac:dyDescent="0.25">
      <c r="B102" s="9"/>
      <c r="C102" s="11"/>
      <c r="D102" s="11"/>
      <c r="E102" s="11"/>
      <c r="F102" s="10"/>
      <c r="I102" s="10"/>
      <c r="J102" s="10"/>
      <c r="K102" s="10"/>
      <c r="L102" s="11"/>
      <c r="M102" s="10"/>
      <c r="N102" s="10"/>
      <c r="O102" s="10"/>
    </row>
    <row r="137" spans="9:15" x14ac:dyDescent="0.25">
      <c r="I137" s="93"/>
      <c r="J137" s="93"/>
      <c r="K137" s="93"/>
      <c r="L137" s="94"/>
      <c r="M137" s="93"/>
      <c r="N137" s="93"/>
      <c r="O137" s="93"/>
    </row>
    <row r="153" spans="9:15" x14ac:dyDescent="0.25">
      <c r="I153" s="30"/>
      <c r="J153" s="30"/>
      <c r="K153" s="30"/>
      <c r="L153" s="31"/>
      <c r="M153" s="30"/>
      <c r="N153" s="30"/>
      <c r="O153" s="30"/>
    </row>
    <row r="169" spans="2:15" s="31" customFormat="1" x14ac:dyDescent="0.25">
      <c r="B169" s="9"/>
      <c r="C169" s="11"/>
      <c r="D169" s="11"/>
      <c r="E169" s="11"/>
      <c r="F169" s="10"/>
      <c r="G169" s="31" t="s">
        <v>64</v>
      </c>
      <c r="I169" s="10"/>
      <c r="J169" s="10"/>
      <c r="K169" s="10"/>
      <c r="L169" s="11"/>
      <c r="M169" s="10"/>
      <c r="N169" s="10"/>
      <c r="O169" s="10"/>
    </row>
    <row r="170" spans="2:15" x14ac:dyDescent="0.25">
      <c r="I170" s="30"/>
      <c r="J170" s="30"/>
      <c r="K170" s="30"/>
      <c r="L170" s="31"/>
      <c r="M170" s="30"/>
      <c r="N170" s="30"/>
      <c r="O170" s="30"/>
    </row>
    <row r="174" spans="2:15" x14ac:dyDescent="0.25">
      <c r="I174" s="30"/>
      <c r="J174" s="30"/>
      <c r="K174" s="30"/>
      <c r="L174" s="31"/>
      <c r="M174" s="30"/>
      <c r="N174" s="30"/>
      <c r="O174" s="30"/>
    </row>
    <row r="185" spans="2:15" s="31" customFormat="1" x14ac:dyDescent="0.25">
      <c r="B185" s="9"/>
      <c r="C185" s="11"/>
      <c r="D185" s="11"/>
      <c r="E185" s="11"/>
      <c r="F185" s="10"/>
      <c r="G185" s="31" t="s">
        <v>65</v>
      </c>
      <c r="I185" s="10"/>
      <c r="J185" s="10"/>
      <c r="K185" s="10"/>
      <c r="L185" s="11"/>
      <c r="M185" s="10"/>
      <c r="N185" s="10"/>
      <c r="O185" s="10"/>
    </row>
    <row r="202" spans="2:15" s="31" customFormat="1" x14ac:dyDescent="0.25">
      <c r="B202" s="9"/>
      <c r="C202" s="11"/>
      <c r="D202" s="11"/>
      <c r="E202" s="11"/>
      <c r="F202" s="10"/>
      <c r="G202" s="31" t="s">
        <v>66</v>
      </c>
      <c r="I202" s="10"/>
      <c r="J202" s="10"/>
      <c r="K202" s="10"/>
      <c r="L202" s="11"/>
      <c r="M202" s="10"/>
      <c r="N202" s="10"/>
      <c r="O202" s="10"/>
    </row>
    <row r="206" spans="2:15" s="31" customFormat="1" x14ac:dyDescent="0.25">
      <c r="B206" s="9"/>
      <c r="C206" s="11"/>
      <c r="D206" s="11"/>
      <c r="E206" s="11"/>
      <c r="F206" s="10"/>
      <c r="G206" s="31" t="s">
        <v>66</v>
      </c>
      <c r="I206" s="10"/>
      <c r="J206" s="10"/>
      <c r="K206" s="10"/>
      <c r="L206" s="11"/>
      <c r="M206" s="10"/>
      <c r="N206" s="10"/>
      <c r="O206" s="10"/>
    </row>
    <row r="259" spans="9:15" x14ac:dyDescent="0.25">
      <c r="I259" s="30"/>
      <c r="J259" s="30"/>
      <c r="K259" s="30"/>
      <c r="L259" s="31"/>
      <c r="M259" s="30"/>
      <c r="N259" s="30"/>
      <c r="O259" s="30"/>
    </row>
    <row r="291" spans="2:15" s="31" customFormat="1" x14ac:dyDescent="0.25">
      <c r="B291" s="9"/>
      <c r="C291" s="11"/>
      <c r="D291" s="11"/>
      <c r="E291" s="11"/>
      <c r="F291" s="10"/>
      <c r="G291" s="31" t="s">
        <v>67</v>
      </c>
      <c r="I291" s="10"/>
      <c r="J291" s="10"/>
      <c r="K291" s="10"/>
      <c r="L291" s="11"/>
      <c r="M291" s="10"/>
      <c r="N291" s="10"/>
      <c r="O291" s="10"/>
    </row>
    <row r="303" spans="2:15" x14ac:dyDescent="0.25">
      <c r="I303" s="30"/>
      <c r="J303" s="30"/>
      <c r="K303" s="30"/>
      <c r="L303" s="31"/>
      <c r="M303" s="30"/>
      <c r="N303" s="30"/>
      <c r="O303" s="30"/>
    </row>
    <row r="304" spans="2:15" x14ac:dyDescent="0.25">
      <c r="I304" s="30"/>
      <c r="J304" s="30"/>
      <c r="K304" s="30"/>
      <c r="L304" s="31"/>
      <c r="M304" s="30"/>
      <c r="N304" s="30"/>
      <c r="O304" s="30"/>
    </row>
    <row r="305" spans="9:15" x14ac:dyDescent="0.25">
      <c r="I305" s="30"/>
      <c r="J305" s="30"/>
      <c r="K305" s="30"/>
      <c r="L305" s="31"/>
      <c r="M305" s="30"/>
      <c r="N305" s="30"/>
      <c r="O305" s="30"/>
    </row>
    <row r="312" spans="9:15" x14ac:dyDescent="0.25">
      <c r="I312" s="30"/>
      <c r="J312" s="30"/>
      <c r="K312" s="30"/>
      <c r="L312" s="31"/>
      <c r="M312" s="30"/>
      <c r="N312" s="30"/>
      <c r="O312" s="30"/>
    </row>
    <row r="335" spans="2:15" s="31" customFormat="1" x14ac:dyDescent="0.25">
      <c r="B335" s="9"/>
      <c r="C335" s="11"/>
      <c r="D335" s="11"/>
      <c r="E335" s="11"/>
      <c r="F335" s="10"/>
      <c r="G335" s="31" t="s">
        <v>66</v>
      </c>
      <c r="I335" s="10"/>
      <c r="J335" s="10"/>
      <c r="K335" s="10"/>
      <c r="L335" s="11"/>
      <c r="M335" s="10"/>
      <c r="N335" s="10"/>
      <c r="O335" s="10"/>
    </row>
    <row r="336" spans="2:15" s="31" customFormat="1" x14ac:dyDescent="0.25">
      <c r="B336" s="9"/>
      <c r="C336" s="11"/>
      <c r="D336" s="11"/>
      <c r="E336" s="11"/>
      <c r="F336" s="10"/>
      <c r="G336" s="31" t="s">
        <v>66</v>
      </c>
      <c r="I336" s="10"/>
      <c r="J336" s="10"/>
      <c r="K336" s="10"/>
      <c r="L336" s="11"/>
      <c r="M336" s="10"/>
      <c r="N336" s="10"/>
      <c r="O336" s="10"/>
    </row>
    <row r="337" spans="2:15" s="31" customFormat="1" x14ac:dyDescent="0.25">
      <c r="B337" s="9"/>
      <c r="C337" s="11"/>
      <c r="D337" s="11"/>
      <c r="E337" s="11"/>
      <c r="F337" s="10"/>
      <c r="G337" s="31" t="s">
        <v>66</v>
      </c>
      <c r="I337" s="10"/>
      <c r="J337" s="10"/>
      <c r="K337" s="10"/>
      <c r="L337" s="11"/>
      <c r="M337" s="10"/>
      <c r="N337" s="10"/>
      <c r="O337" s="10"/>
    </row>
    <row r="344" spans="2:15" s="31" customFormat="1" x14ac:dyDescent="0.25">
      <c r="B344" s="9"/>
      <c r="C344" s="11"/>
      <c r="D344" s="11"/>
      <c r="E344" s="11"/>
      <c r="F344" s="10"/>
      <c r="G344" s="31" t="s">
        <v>68</v>
      </c>
      <c r="I344" s="10"/>
      <c r="J344" s="10"/>
      <c r="K344" s="10"/>
      <c r="L344" s="11"/>
      <c r="M344" s="10"/>
      <c r="N344" s="10"/>
      <c r="O344" s="10"/>
    </row>
    <row r="396" spans="9:15" x14ac:dyDescent="0.25">
      <c r="I396" s="32"/>
      <c r="J396" s="32"/>
      <c r="K396" s="32"/>
      <c r="L396" s="33"/>
      <c r="M396" s="32"/>
      <c r="N396" s="32"/>
      <c r="O396" s="32"/>
    </row>
    <row r="428" spans="2:15" s="33" customFormat="1" x14ac:dyDescent="0.25">
      <c r="B428" s="9"/>
      <c r="C428" s="11"/>
      <c r="D428" s="11"/>
      <c r="E428" s="11"/>
      <c r="F428" s="10"/>
      <c r="I428" s="10"/>
      <c r="J428" s="10"/>
      <c r="K428" s="10"/>
      <c r="L428" s="11"/>
      <c r="M428" s="10"/>
      <c r="N428" s="10"/>
      <c r="O428" s="10"/>
    </row>
    <row r="450" spans="9:15" x14ac:dyDescent="0.25">
      <c r="I450" s="30"/>
      <c r="J450" s="30"/>
      <c r="K450" s="30"/>
      <c r="L450" s="31"/>
      <c r="M450" s="30"/>
      <c r="N450" s="30"/>
      <c r="O450" s="30"/>
    </row>
    <row r="482" spans="2:15" s="31" customFormat="1" x14ac:dyDescent="0.25">
      <c r="B482" s="9"/>
      <c r="C482" s="11"/>
      <c r="D482" s="11"/>
      <c r="E482" s="11"/>
      <c r="F482" s="10"/>
      <c r="G482" s="31" t="s">
        <v>69</v>
      </c>
      <c r="I482" s="10"/>
      <c r="J482" s="10"/>
      <c r="K482" s="10"/>
      <c r="L482" s="11"/>
      <c r="M482" s="10"/>
      <c r="N482" s="10"/>
      <c r="O482" s="10"/>
    </row>
    <row r="1048246" spans="6:6" x14ac:dyDescent="0.25">
      <c r="F1048246" s="10">
        <f>SUM(F1:F1048245)</f>
        <v>280000</v>
      </c>
    </row>
  </sheetData>
  <autoFilter ref="B2:R2"/>
  <mergeCells count="2">
    <mergeCell ref="C1:E1"/>
    <mergeCell ref="I1:O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2:J27"/>
  <sheetViews>
    <sheetView workbookViewId="0">
      <pane xSplit="2" ySplit="4" topLeftCell="D5" activePane="bottomRight" state="frozen"/>
      <selection pane="topRight" activeCell="C1" sqref="C1"/>
      <selection pane="bottomLeft" activeCell="A5" sqref="A5"/>
      <selection pane="bottomRight" activeCell="D14" sqref="D14"/>
    </sheetView>
  </sheetViews>
  <sheetFormatPr defaultRowHeight="15" x14ac:dyDescent="0.25"/>
  <cols>
    <col min="1" max="1" width="9" style="5" customWidth="1"/>
    <col min="2" max="2" width="27.5703125" customWidth="1"/>
    <col min="3" max="3" width="19.140625" customWidth="1"/>
    <col min="4" max="4" width="40.28515625" bestFit="1" customWidth="1"/>
    <col min="5" max="6" width="28.140625" bestFit="1" customWidth="1"/>
    <col min="7" max="7" width="19.5703125" customWidth="1"/>
    <col min="8" max="8" width="18.5703125" customWidth="1"/>
    <col min="9" max="9" width="9.140625" style="71"/>
  </cols>
  <sheetData>
    <row r="2" spans="1:10" ht="18" x14ac:dyDescent="0.25">
      <c r="B2" s="3" t="s">
        <v>79</v>
      </c>
      <c r="C2" s="3"/>
      <c r="D2" s="3"/>
      <c r="E2" s="3"/>
      <c r="F2" s="3"/>
      <c r="G2" s="3"/>
      <c r="H2" s="3"/>
    </row>
    <row r="4" spans="1:10" ht="47.25" x14ac:dyDescent="0.25">
      <c r="A4" s="54" t="s">
        <v>11</v>
      </c>
      <c r="B4" s="55" t="s">
        <v>0</v>
      </c>
      <c r="C4" s="55" t="s">
        <v>109</v>
      </c>
      <c r="D4" s="55" t="s">
        <v>1</v>
      </c>
      <c r="E4" s="55" t="s">
        <v>2</v>
      </c>
      <c r="F4" s="55" t="s">
        <v>3</v>
      </c>
      <c r="G4" s="55" t="s">
        <v>4</v>
      </c>
      <c r="H4" s="68" t="s">
        <v>101</v>
      </c>
      <c r="I4" s="67" t="s">
        <v>85</v>
      </c>
      <c r="J4" s="69" t="s">
        <v>102</v>
      </c>
    </row>
    <row r="5" spans="1:10" ht="15.75" x14ac:dyDescent="0.25">
      <c r="A5" s="56">
        <v>1</v>
      </c>
      <c r="B5" s="57" t="s">
        <v>10</v>
      </c>
      <c r="C5" s="83" t="s">
        <v>111</v>
      </c>
      <c r="D5" s="57">
        <v>938176471</v>
      </c>
      <c r="E5" s="58" t="s">
        <v>92</v>
      </c>
      <c r="F5" s="58" t="s">
        <v>80</v>
      </c>
      <c r="G5" s="58" t="s">
        <v>81</v>
      </c>
      <c r="H5" s="72"/>
      <c r="I5" s="70" t="s">
        <v>88</v>
      </c>
      <c r="J5" s="72"/>
    </row>
    <row r="6" spans="1:10" ht="15.75" x14ac:dyDescent="0.25">
      <c r="A6" s="56">
        <v>2</v>
      </c>
      <c r="B6" s="57" t="s">
        <v>5</v>
      </c>
      <c r="C6" s="95" t="s">
        <v>110</v>
      </c>
      <c r="D6" s="57" t="s">
        <v>6</v>
      </c>
      <c r="E6" s="58" t="s">
        <v>86</v>
      </c>
      <c r="F6" s="58" t="s">
        <v>80</v>
      </c>
      <c r="G6" s="58" t="s">
        <v>81</v>
      </c>
      <c r="H6" s="72">
        <v>1</v>
      </c>
      <c r="I6" s="70" t="s">
        <v>75</v>
      </c>
      <c r="J6" s="72">
        <v>1</v>
      </c>
    </row>
    <row r="7" spans="1:10" ht="15.75" x14ac:dyDescent="0.25">
      <c r="A7" s="56">
        <v>3</v>
      </c>
      <c r="B7" s="57" t="s">
        <v>7</v>
      </c>
      <c r="C7" s="45" t="s">
        <v>113</v>
      </c>
      <c r="D7" s="57">
        <v>908085623</v>
      </c>
      <c r="E7" s="58" t="s">
        <v>87</v>
      </c>
      <c r="F7" s="58" t="s">
        <v>81</v>
      </c>
      <c r="G7" s="58"/>
      <c r="H7" s="72"/>
      <c r="I7" s="70" t="s">
        <v>88</v>
      </c>
      <c r="J7" s="72"/>
    </row>
    <row r="8" spans="1:10" ht="15.75" x14ac:dyDescent="0.25">
      <c r="A8" s="56">
        <v>4</v>
      </c>
      <c r="B8" s="57" t="s">
        <v>82</v>
      </c>
      <c r="C8" s="95" t="s">
        <v>110</v>
      </c>
      <c r="D8" s="57">
        <v>949746475</v>
      </c>
      <c r="E8" s="58" t="s">
        <v>83</v>
      </c>
      <c r="F8" s="58" t="s">
        <v>84</v>
      </c>
      <c r="G8" s="58" t="s">
        <v>81</v>
      </c>
      <c r="H8" s="72">
        <v>1</v>
      </c>
      <c r="I8" s="70" t="s">
        <v>75</v>
      </c>
      <c r="J8" s="72">
        <v>1</v>
      </c>
    </row>
    <row r="9" spans="1:10" ht="15.75" x14ac:dyDescent="0.25">
      <c r="A9" s="56">
        <v>5</v>
      </c>
      <c r="B9" s="57" t="s">
        <v>8</v>
      </c>
      <c r="C9" s="45" t="s">
        <v>113</v>
      </c>
      <c r="D9" s="57">
        <v>913115667</v>
      </c>
      <c r="E9" s="59" t="s">
        <v>89</v>
      </c>
      <c r="F9" s="59" t="s">
        <v>90</v>
      </c>
      <c r="G9" s="57"/>
      <c r="H9" s="72"/>
      <c r="I9" s="70" t="s">
        <v>88</v>
      </c>
      <c r="J9" s="72"/>
    </row>
    <row r="10" spans="1:10" ht="15.75" x14ac:dyDescent="0.25">
      <c r="A10" s="56">
        <v>6</v>
      </c>
      <c r="B10" s="57" t="s">
        <v>9</v>
      </c>
      <c r="C10" s="95" t="s">
        <v>110</v>
      </c>
      <c r="D10" s="57">
        <v>165118919</v>
      </c>
      <c r="E10" s="60" t="s">
        <v>91</v>
      </c>
      <c r="F10" s="59"/>
      <c r="G10" s="59"/>
      <c r="H10" s="72">
        <v>1</v>
      </c>
      <c r="I10" s="70" t="s">
        <v>75</v>
      </c>
      <c r="J10" s="72">
        <v>1</v>
      </c>
    </row>
    <row r="11" spans="1:10" ht="15.75" x14ac:dyDescent="0.25">
      <c r="A11" s="56">
        <v>7</v>
      </c>
      <c r="B11" s="57" t="s">
        <v>93</v>
      </c>
      <c r="C11" s="45" t="s">
        <v>113</v>
      </c>
      <c r="D11" s="61" t="s">
        <v>99</v>
      </c>
      <c r="E11" s="58" t="s">
        <v>94</v>
      </c>
      <c r="F11" s="58" t="s">
        <v>95</v>
      </c>
      <c r="G11" s="58" t="s">
        <v>96</v>
      </c>
      <c r="H11" s="73">
        <v>1</v>
      </c>
      <c r="I11" s="70" t="s">
        <v>75</v>
      </c>
      <c r="J11" s="73">
        <v>1</v>
      </c>
    </row>
    <row r="12" spans="1:10" ht="15.75" x14ac:dyDescent="0.25">
      <c r="A12" s="56">
        <v>8</v>
      </c>
      <c r="B12" s="57" t="s">
        <v>98</v>
      </c>
      <c r="C12" s="45" t="s">
        <v>113</v>
      </c>
      <c r="D12" s="61" t="s">
        <v>100</v>
      </c>
      <c r="E12" s="58" t="s">
        <v>94</v>
      </c>
      <c r="F12" s="59" t="s">
        <v>97</v>
      </c>
      <c r="G12" s="59" t="s">
        <v>97</v>
      </c>
      <c r="H12" s="73">
        <v>1</v>
      </c>
      <c r="I12" s="70" t="s">
        <v>75</v>
      </c>
      <c r="J12" s="73">
        <v>1</v>
      </c>
    </row>
    <row r="13" spans="1:10" ht="15.75" x14ac:dyDescent="0.25">
      <c r="A13" s="56"/>
      <c r="B13" s="57"/>
      <c r="C13" s="45"/>
      <c r="D13" s="57"/>
      <c r="E13" s="59"/>
      <c r="F13" s="59"/>
      <c r="G13" s="59"/>
      <c r="H13" s="2"/>
      <c r="I13" s="4"/>
      <c r="J13" s="72"/>
    </row>
    <row r="14" spans="1:10" ht="15.75" x14ac:dyDescent="0.25">
      <c r="A14" s="56"/>
      <c r="B14" s="57"/>
      <c r="C14" s="57"/>
      <c r="D14" s="57"/>
      <c r="E14" s="59"/>
      <c r="F14" s="59"/>
      <c r="G14" s="59"/>
      <c r="H14" s="2"/>
      <c r="I14" s="4"/>
      <c r="J14" s="72"/>
    </row>
    <row r="15" spans="1:10" ht="15.75" x14ac:dyDescent="0.25">
      <c r="A15" s="56"/>
      <c r="B15" s="57"/>
      <c r="C15" s="57"/>
      <c r="D15" s="57"/>
      <c r="E15" s="59"/>
      <c r="F15" s="59"/>
      <c r="G15" s="59"/>
      <c r="H15" s="2"/>
      <c r="I15" s="4"/>
      <c r="J15" s="72"/>
    </row>
    <row r="16" spans="1:10" ht="15.75" x14ac:dyDescent="0.25">
      <c r="A16" s="56"/>
      <c r="B16" s="57"/>
      <c r="C16" s="57"/>
      <c r="D16" s="57"/>
      <c r="E16" s="59"/>
      <c r="F16" s="59"/>
      <c r="G16" s="59"/>
      <c r="H16" s="2"/>
      <c r="I16" s="4"/>
      <c r="J16" s="72"/>
    </row>
    <row r="17" spans="1:10" ht="15.75" x14ac:dyDescent="0.25">
      <c r="A17" s="56"/>
      <c r="B17" s="57"/>
      <c r="C17" s="57"/>
      <c r="D17" s="57"/>
      <c r="E17" s="59"/>
      <c r="F17" s="59"/>
      <c r="G17" s="59"/>
      <c r="H17" s="2"/>
      <c r="I17" s="4"/>
      <c r="J17" s="72"/>
    </row>
    <row r="18" spans="1:10" ht="15.75" x14ac:dyDescent="0.25">
      <c r="A18" s="56"/>
      <c r="B18" s="57"/>
      <c r="C18" s="57"/>
      <c r="D18" s="57"/>
      <c r="E18" s="59"/>
      <c r="F18" s="59"/>
      <c r="G18" s="59"/>
      <c r="H18" s="2"/>
      <c r="I18" s="4"/>
      <c r="J18" s="72"/>
    </row>
    <row r="19" spans="1:10" ht="15.75" x14ac:dyDescent="0.25">
      <c r="A19" s="62"/>
      <c r="B19" s="63"/>
      <c r="C19" s="63"/>
      <c r="D19" s="63"/>
      <c r="E19" s="64"/>
      <c r="F19" s="64"/>
      <c r="G19" s="64"/>
      <c r="H19" s="2"/>
      <c r="I19" s="4"/>
      <c r="J19" s="72"/>
    </row>
    <row r="20" spans="1:10" ht="15.75" x14ac:dyDescent="0.25">
      <c r="A20" s="6"/>
      <c r="B20" s="1"/>
      <c r="C20" s="1"/>
      <c r="D20" s="1"/>
      <c r="E20" s="2"/>
      <c r="F20" s="2"/>
      <c r="G20" s="2"/>
      <c r="H20" s="2"/>
      <c r="I20" s="4"/>
      <c r="J20" s="72"/>
    </row>
    <row r="21" spans="1:10" x14ac:dyDescent="0.25">
      <c r="A21" s="65" t="s">
        <v>72</v>
      </c>
      <c r="B21" s="65" t="s">
        <v>72</v>
      </c>
      <c r="C21" s="65" t="s">
        <v>72</v>
      </c>
      <c r="D21" s="65" t="s">
        <v>72</v>
      </c>
      <c r="E21" s="65" t="s">
        <v>72</v>
      </c>
      <c r="F21" s="65" t="s">
        <v>72</v>
      </c>
      <c r="G21" s="6" t="s">
        <v>72</v>
      </c>
      <c r="H21" s="6">
        <f>SUM(H5:H20)</f>
        <v>5</v>
      </c>
      <c r="I21" s="66" t="s">
        <v>72</v>
      </c>
      <c r="J21" s="72">
        <f>SUM(J5:J20)</f>
        <v>5</v>
      </c>
    </row>
    <row r="24" spans="1:10" ht="15.75" x14ac:dyDescent="0.25">
      <c r="B24" s="118" t="s">
        <v>12</v>
      </c>
      <c r="C24" s="118"/>
      <c r="D24" s="118"/>
    </row>
    <row r="25" spans="1:10" x14ac:dyDescent="0.25">
      <c r="B25" s="7" t="s">
        <v>13</v>
      </c>
      <c r="C25" s="7" t="s">
        <v>14</v>
      </c>
      <c r="D25" s="75" t="s">
        <v>103</v>
      </c>
      <c r="E25" s="74"/>
    </row>
    <row r="26" spans="1:10" x14ac:dyDescent="0.25">
      <c r="B26" s="78">
        <f>H21</f>
        <v>5</v>
      </c>
      <c r="C26" s="8"/>
      <c r="D26" s="8">
        <f>B26*C26</f>
        <v>0</v>
      </c>
    </row>
    <row r="27" spans="1:10" x14ac:dyDescent="0.25">
      <c r="A27" s="76" t="s">
        <v>85</v>
      </c>
      <c r="B27" s="77">
        <f>J21</f>
        <v>5</v>
      </c>
      <c r="C27" s="77"/>
      <c r="D27" s="77">
        <f>B27*C27</f>
        <v>0</v>
      </c>
    </row>
  </sheetData>
  <autoFilter ref="A4:J4"/>
  <mergeCells count="1">
    <mergeCell ref="B24:D2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2:J31"/>
  <sheetViews>
    <sheetView workbookViewId="0">
      <selection activeCell="G6" sqref="G6"/>
    </sheetView>
  </sheetViews>
  <sheetFormatPr defaultRowHeight="15" x14ac:dyDescent="0.25"/>
  <cols>
    <col min="1" max="1" width="4.7109375" style="79" customWidth="1"/>
    <col min="2" max="2" width="18.5703125" style="80" customWidth="1"/>
    <col min="3" max="3" width="23.42578125" style="79" bestFit="1" customWidth="1"/>
    <col min="4" max="4" width="19.140625" style="79" customWidth="1"/>
    <col min="5" max="5" width="15.42578125" style="79" customWidth="1"/>
    <col min="6" max="6" width="13.28515625" style="79" bestFit="1" customWidth="1"/>
    <col min="7" max="7" width="59.28515625" style="79" customWidth="1"/>
    <col min="8" max="8" width="48.28515625" style="79" bestFit="1" customWidth="1"/>
    <col min="9" max="9" width="14.5703125" style="79" bestFit="1" customWidth="1"/>
  </cols>
  <sheetData>
    <row r="2" spans="1:10" ht="20.25" x14ac:dyDescent="0.3">
      <c r="C2" s="119" t="s">
        <v>36</v>
      </c>
      <c r="D2" s="119"/>
      <c r="E2" s="119"/>
      <c r="F2" s="119"/>
      <c r="G2" s="119"/>
    </row>
    <row r="4" spans="1:10" x14ac:dyDescent="0.25">
      <c r="A4" s="81" t="s">
        <v>11</v>
      </c>
      <c r="B4" s="82" t="s">
        <v>16</v>
      </c>
      <c r="C4" s="81" t="s">
        <v>17</v>
      </c>
      <c r="D4" s="81" t="s">
        <v>18</v>
      </c>
      <c r="E4" s="81" t="s">
        <v>112</v>
      </c>
      <c r="F4" s="81" t="s">
        <v>19</v>
      </c>
      <c r="G4" s="81" t="s">
        <v>20</v>
      </c>
      <c r="H4" s="81" t="s">
        <v>21</v>
      </c>
      <c r="I4" s="81" t="s">
        <v>22</v>
      </c>
      <c r="J4" s="91" t="s">
        <v>63</v>
      </c>
    </row>
    <row r="5" spans="1:10" x14ac:dyDescent="0.25">
      <c r="A5" s="83">
        <v>1</v>
      </c>
      <c r="B5" s="84">
        <v>42126</v>
      </c>
      <c r="C5" s="83" t="s">
        <v>23</v>
      </c>
      <c r="D5" s="83" t="s">
        <v>24</v>
      </c>
      <c r="E5" s="83" t="s">
        <v>25</v>
      </c>
      <c r="F5" s="83" t="s">
        <v>26</v>
      </c>
      <c r="G5" s="90" t="s">
        <v>104</v>
      </c>
      <c r="H5" s="83"/>
      <c r="I5" s="83"/>
      <c r="J5">
        <v>1</v>
      </c>
    </row>
    <row r="6" spans="1:10" x14ac:dyDescent="0.25">
      <c r="A6" s="83">
        <v>2</v>
      </c>
      <c r="B6" s="84">
        <v>42127</v>
      </c>
      <c r="C6" s="83" t="s">
        <v>27</v>
      </c>
      <c r="D6" s="83" t="s">
        <v>28</v>
      </c>
      <c r="E6" s="83" t="s">
        <v>29</v>
      </c>
      <c r="F6" s="83" t="s">
        <v>30</v>
      </c>
      <c r="G6" s="90" t="s">
        <v>105</v>
      </c>
      <c r="H6" s="83"/>
      <c r="I6" s="83"/>
      <c r="J6">
        <v>1</v>
      </c>
    </row>
    <row r="7" spans="1:10" x14ac:dyDescent="0.25">
      <c r="A7" s="83">
        <v>3</v>
      </c>
      <c r="B7" s="84">
        <v>42128</v>
      </c>
      <c r="C7" s="83" t="s">
        <v>31</v>
      </c>
      <c r="D7" s="83" t="s">
        <v>32</v>
      </c>
      <c r="E7" s="83" t="s">
        <v>110</v>
      </c>
      <c r="F7" s="83" t="s">
        <v>33</v>
      </c>
      <c r="G7" s="90" t="s">
        <v>106</v>
      </c>
      <c r="H7" s="83"/>
      <c r="I7" s="83"/>
      <c r="J7">
        <v>1</v>
      </c>
    </row>
    <row r="8" spans="1:10" x14ac:dyDescent="0.25">
      <c r="A8" s="83">
        <v>4</v>
      </c>
      <c r="B8" s="84">
        <v>42129</v>
      </c>
      <c r="C8" s="83" t="s">
        <v>34</v>
      </c>
      <c r="D8" s="83" t="s">
        <v>35</v>
      </c>
      <c r="E8" s="83" t="s">
        <v>111</v>
      </c>
      <c r="F8" s="83"/>
      <c r="G8" s="83"/>
      <c r="H8" s="90" t="s">
        <v>106</v>
      </c>
      <c r="I8" s="83"/>
      <c r="J8">
        <v>1</v>
      </c>
    </row>
    <row r="9" spans="1:10" x14ac:dyDescent="0.25">
      <c r="A9" s="83">
        <v>5</v>
      </c>
      <c r="B9" s="84"/>
      <c r="C9" s="83"/>
      <c r="D9" s="83"/>
      <c r="E9" s="83"/>
      <c r="F9" s="83"/>
      <c r="G9" s="83"/>
      <c r="H9" s="83"/>
      <c r="I9" s="83"/>
    </row>
    <row r="10" spans="1:10" x14ac:dyDescent="0.25">
      <c r="A10" s="83">
        <v>6</v>
      </c>
      <c r="B10" s="84"/>
      <c r="C10" s="83"/>
      <c r="D10" s="83"/>
      <c r="E10" s="83"/>
      <c r="F10" s="83"/>
      <c r="G10" s="83"/>
      <c r="H10" s="83"/>
      <c r="I10" s="83"/>
    </row>
    <row r="11" spans="1:10" x14ac:dyDescent="0.25">
      <c r="A11" s="83">
        <v>7</v>
      </c>
      <c r="B11" s="84"/>
      <c r="C11" s="83"/>
      <c r="D11" s="83"/>
      <c r="E11" s="83"/>
      <c r="F11" s="83"/>
      <c r="G11" s="83"/>
      <c r="H11" s="83"/>
      <c r="I11" s="83"/>
    </row>
    <row r="12" spans="1:10" x14ac:dyDescent="0.25">
      <c r="A12" s="83">
        <v>8</v>
      </c>
      <c r="B12" s="84"/>
      <c r="C12" s="83"/>
      <c r="D12" s="83"/>
      <c r="E12" s="83"/>
      <c r="F12" s="83"/>
      <c r="G12" s="83"/>
      <c r="H12" s="83"/>
      <c r="I12" s="83"/>
    </row>
    <row r="13" spans="1:10" x14ac:dyDescent="0.25">
      <c r="A13" s="83" t="s">
        <v>72</v>
      </c>
      <c r="B13" s="84" t="s">
        <v>72</v>
      </c>
      <c r="C13" s="83" t="s">
        <v>72</v>
      </c>
      <c r="D13" s="83" t="s">
        <v>72</v>
      </c>
      <c r="E13" s="84" t="s">
        <v>72</v>
      </c>
      <c r="F13" s="83" t="s">
        <v>72</v>
      </c>
      <c r="G13" s="84" t="s">
        <v>107</v>
      </c>
      <c r="H13" s="83"/>
      <c r="I13" s="77">
        <f>SUM(J5:J12)</f>
        <v>4</v>
      </c>
    </row>
    <row r="14" spans="1:10" ht="15.75" thickBot="1" x14ac:dyDescent="0.3">
      <c r="A14" s="85"/>
      <c r="B14" s="86"/>
      <c r="C14" s="85"/>
      <c r="D14" s="85"/>
      <c r="E14" s="85"/>
      <c r="F14" s="85"/>
      <c r="G14" s="85"/>
      <c r="H14" s="85"/>
      <c r="I14" s="85"/>
    </row>
    <row r="15" spans="1:10" ht="15.75" x14ac:dyDescent="0.25">
      <c r="A15" s="85"/>
      <c r="B15" s="86"/>
      <c r="C15" s="120" t="s">
        <v>37</v>
      </c>
      <c r="D15" s="121"/>
      <c r="E15" s="122"/>
      <c r="F15" s="85"/>
      <c r="G15" s="85"/>
      <c r="H15" s="85"/>
      <c r="I15" s="85"/>
    </row>
    <row r="16" spans="1:10" x14ac:dyDescent="0.25">
      <c r="A16" s="85"/>
      <c r="B16" s="86"/>
      <c r="C16" s="87"/>
      <c r="D16" s="88"/>
      <c r="E16" s="89"/>
      <c r="F16" s="85"/>
      <c r="G16" s="85"/>
      <c r="H16" s="85"/>
      <c r="I16" s="85"/>
    </row>
    <row r="17" spans="1:9" x14ac:dyDescent="0.25">
      <c r="A17" s="85"/>
      <c r="B17" s="86"/>
      <c r="C17" s="87" t="s">
        <v>13</v>
      </c>
      <c r="D17" s="88" t="s">
        <v>14</v>
      </c>
      <c r="E17" s="89" t="s">
        <v>15</v>
      </c>
      <c r="F17" s="85"/>
      <c r="G17" s="85"/>
      <c r="H17" s="85"/>
      <c r="I17" s="85"/>
    </row>
    <row r="18" spans="1:9" ht="15.75" thickBot="1" x14ac:dyDescent="0.3">
      <c r="A18" s="85"/>
      <c r="B18" s="86"/>
      <c r="C18" s="100">
        <f>I13</f>
        <v>4</v>
      </c>
      <c r="D18" s="101">
        <v>100000</v>
      </c>
      <c r="E18" s="102">
        <f>C18*D18</f>
        <v>400000</v>
      </c>
      <c r="F18" s="85"/>
      <c r="G18" s="85"/>
      <c r="H18" s="85"/>
      <c r="I18" s="85"/>
    </row>
    <row r="19" spans="1:9" x14ac:dyDescent="0.25">
      <c r="A19" s="85"/>
      <c r="B19" s="86"/>
      <c r="C19" s="85"/>
      <c r="D19" s="85"/>
      <c r="E19" s="85"/>
      <c r="F19" s="85"/>
      <c r="G19" s="85"/>
      <c r="H19" s="85"/>
      <c r="I19" s="85"/>
    </row>
    <row r="20" spans="1:9" x14ac:dyDescent="0.25">
      <c r="A20" s="85"/>
      <c r="B20" s="86"/>
      <c r="C20" s="85"/>
      <c r="D20" s="85"/>
      <c r="E20" s="85"/>
      <c r="F20" s="85"/>
      <c r="G20" s="85"/>
      <c r="H20" s="85"/>
      <c r="I20" s="85"/>
    </row>
    <row r="21" spans="1:9" x14ac:dyDescent="0.25">
      <c r="A21" s="85"/>
      <c r="B21" s="86"/>
      <c r="C21" s="85"/>
      <c r="D21" s="85"/>
      <c r="E21" s="85"/>
      <c r="F21" s="85"/>
      <c r="G21" s="85"/>
      <c r="H21" s="85"/>
      <c r="I21" s="85"/>
    </row>
    <row r="22" spans="1:9" x14ac:dyDescent="0.25">
      <c r="A22" s="85"/>
      <c r="B22" s="86"/>
      <c r="C22" s="85"/>
      <c r="D22" s="85"/>
      <c r="E22" s="85"/>
      <c r="F22" s="85"/>
      <c r="G22" s="85"/>
      <c r="H22" s="85"/>
      <c r="I22" s="85"/>
    </row>
    <row r="23" spans="1:9" x14ac:dyDescent="0.25">
      <c r="A23" s="85"/>
      <c r="B23" s="86"/>
      <c r="C23" s="85"/>
      <c r="D23" s="85"/>
      <c r="E23" s="85"/>
      <c r="F23" s="85"/>
      <c r="G23" s="85"/>
      <c r="H23" s="85"/>
      <c r="I23" s="85"/>
    </row>
    <row r="24" spans="1:9" x14ac:dyDescent="0.25">
      <c r="A24" s="85"/>
      <c r="B24" s="86"/>
      <c r="C24" s="85"/>
      <c r="D24" s="85"/>
      <c r="E24" s="85"/>
      <c r="F24" s="85"/>
      <c r="G24" s="85"/>
      <c r="H24" s="85"/>
      <c r="I24" s="85"/>
    </row>
    <row r="25" spans="1:9" x14ac:dyDescent="0.25">
      <c r="A25" s="85"/>
      <c r="B25" s="86"/>
      <c r="C25" s="85"/>
      <c r="D25" s="85"/>
      <c r="E25" s="85"/>
      <c r="F25" s="85"/>
      <c r="G25" s="85"/>
      <c r="H25" s="85"/>
      <c r="I25" s="85"/>
    </row>
    <row r="26" spans="1:9" x14ac:dyDescent="0.25">
      <c r="A26" s="85"/>
      <c r="B26" s="86"/>
      <c r="C26" s="85"/>
      <c r="D26" s="85"/>
      <c r="E26" s="85"/>
      <c r="F26" s="85"/>
      <c r="G26" s="85"/>
      <c r="H26" s="85"/>
      <c r="I26" s="85"/>
    </row>
    <row r="27" spans="1:9" x14ac:dyDescent="0.25">
      <c r="A27" s="85"/>
      <c r="B27" s="86"/>
      <c r="C27" s="85"/>
      <c r="D27" s="85"/>
      <c r="E27" s="85"/>
      <c r="F27" s="85"/>
      <c r="G27" s="85"/>
      <c r="H27" s="85"/>
      <c r="I27" s="85"/>
    </row>
    <row r="28" spans="1:9" x14ac:dyDescent="0.25">
      <c r="A28" s="85"/>
      <c r="B28" s="86"/>
      <c r="C28" s="85"/>
      <c r="D28" s="85"/>
      <c r="E28" s="85"/>
      <c r="F28" s="85"/>
      <c r="G28" s="85"/>
      <c r="H28" s="85"/>
      <c r="I28" s="85"/>
    </row>
    <row r="29" spans="1:9" x14ac:dyDescent="0.25">
      <c r="A29" s="85"/>
      <c r="B29" s="86"/>
      <c r="C29" s="85"/>
      <c r="D29" s="85"/>
      <c r="E29" s="85"/>
      <c r="F29" s="85"/>
      <c r="G29" s="85"/>
      <c r="H29" s="85"/>
      <c r="I29" s="85"/>
    </row>
    <row r="30" spans="1:9" x14ac:dyDescent="0.25">
      <c r="A30" s="85"/>
      <c r="B30" s="86"/>
      <c r="C30" s="85"/>
      <c r="D30" s="85"/>
      <c r="E30" s="85"/>
      <c r="F30" s="85"/>
      <c r="G30" s="85"/>
      <c r="H30" s="85"/>
      <c r="I30" s="85"/>
    </row>
    <row r="31" spans="1:9" x14ac:dyDescent="0.25">
      <c r="A31" s="85"/>
      <c r="B31" s="86"/>
      <c r="C31" s="85"/>
      <c r="D31" s="85"/>
      <c r="E31" s="85"/>
      <c r="F31" s="85"/>
      <c r="G31" s="85"/>
      <c r="H31" s="85"/>
      <c r="I31" s="85"/>
    </row>
  </sheetData>
  <mergeCells count="2">
    <mergeCell ref="C2:G2"/>
    <mergeCell ref="C15:E1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J189"/>
  <sheetViews>
    <sheetView zoomScale="106" zoomScaleNormal="106" workbookViewId="0">
      <selection activeCell="E6" sqref="E6"/>
    </sheetView>
  </sheetViews>
  <sheetFormatPr defaultRowHeight="15" x14ac:dyDescent="0.25"/>
  <cols>
    <col min="1" max="1" width="16.85546875" style="11" customWidth="1"/>
    <col min="2" max="2" width="22.5703125" style="11" customWidth="1"/>
    <col min="3" max="3" width="17.140625" style="11" customWidth="1"/>
    <col min="4" max="4" width="16.28515625" style="11" customWidth="1"/>
    <col min="5" max="5" width="25.5703125" style="11" customWidth="1"/>
    <col min="6" max="6" width="17.28515625" style="11" customWidth="1"/>
    <col min="7" max="7" width="18.42578125" style="11" customWidth="1"/>
    <col min="8" max="8" width="9.140625" style="11"/>
    <col min="9" max="9" width="11.5703125" style="11" bestFit="1" customWidth="1"/>
    <col min="10" max="12" width="9.140625" style="11"/>
    <col min="13" max="13" width="17.42578125" style="11" customWidth="1"/>
    <col min="14" max="16384" width="9.140625" style="11"/>
  </cols>
  <sheetData>
    <row r="2" spans="1:10" ht="18.75" x14ac:dyDescent="0.3">
      <c r="B2" s="123" t="s">
        <v>70</v>
      </c>
      <c r="C2" s="123"/>
      <c r="D2" s="123"/>
    </row>
    <row r="4" spans="1:10" x14ac:dyDescent="0.25">
      <c r="A4" s="15" t="s">
        <v>11</v>
      </c>
      <c r="B4" s="109" t="s">
        <v>62</v>
      </c>
      <c r="C4" s="109" t="s">
        <v>13</v>
      </c>
      <c r="D4" s="109" t="s">
        <v>14</v>
      </c>
      <c r="E4" s="109" t="s">
        <v>15</v>
      </c>
      <c r="F4" s="109" t="s">
        <v>85</v>
      </c>
    </row>
    <row r="5" spans="1:10" x14ac:dyDescent="0.25">
      <c r="A5" s="53">
        <v>1</v>
      </c>
      <c r="B5" s="45" t="s">
        <v>59</v>
      </c>
      <c r="C5" s="110"/>
      <c r="D5" s="111">
        <f>'DS BAN SP THANG 9'!E90</f>
        <v>20000</v>
      </c>
      <c r="E5" s="111">
        <f>C5*D5</f>
        <v>0</v>
      </c>
      <c r="F5" s="45"/>
    </row>
    <row r="6" spans="1:10" x14ac:dyDescent="0.25">
      <c r="A6" s="45">
        <v>2</v>
      </c>
      <c r="B6" s="45" t="s">
        <v>60</v>
      </c>
      <c r="C6" s="111">
        <f>'HOA HỒNG ĐẶT HẸN MỤN'!B26</f>
        <v>5</v>
      </c>
      <c r="D6" s="111"/>
      <c r="E6" s="111">
        <f>C6*D6</f>
        <v>0</v>
      </c>
      <c r="F6" s="45"/>
    </row>
    <row r="7" spans="1:10" x14ac:dyDescent="0.25">
      <c r="A7" s="45">
        <v>3</v>
      </c>
      <c r="B7" s="45" t="s">
        <v>61</v>
      </c>
      <c r="C7" s="111">
        <f>'HOA HỒNG LĂN KIM'!C18</f>
        <v>4</v>
      </c>
      <c r="D7" s="111">
        <v>100000</v>
      </c>
      <c r="E7" s="111">
        <f t="shared" ref="E7:E8" si="0">C7*D7</f>
        <v>400000</v>
      </c>
      <c r="F7" s="45"/>
    </row>
    <row r="8" spans="1:10" x14ac:dyDescent="0.25">
      <c r="A8" s="112">
        <v>4</v>
      </c>
      <c r="B8" s="112"/>
      <c r="C8" s="113"/>
      <c r="D8" s="113"/>
      <c r="E8" s="113">
        <f t="shared" si="0"/>
        <v>0</v>
      </c>
      <c r="F8" s="112"/>
    </row>
    <row r="9" spans="1:10" ht="19.5" x14ac:dyDescent="0.35">
      <c r="A9" s="19"/>
      <c r="B9" s="92" t="s">
        <v>63</v>
      </c>
      <c r="C9" s="114"/>
      <c r="D9" s="114"/>
      <c r="E9" s="115">
        <f>SUM(E5:E8)</f>
        <v>400000</v>
      </c>
      <c r="F9" s="19"/>
    </row>
    <row r="10" spans="1:10" x14ac:dyDescent="0.25">
      <c r="A10" s="116"/>
      <c r="B10" s="116"/>
      <c r="C10" s="116"/>
      <c r="D10" s="116"/>
      <c r="E10" s="116"/>
      <c r="F10" s="116"/>
      <c r="G10" s="116"/>
      <c r="H10" s="116"/>
      <c r="I10" s="116"/>
      <c r="J10" s="116"/>
    </row>
    <row r="11" spans="1:10" x14ac:dyDescent="0.25">
      <c r="A11" s="116"/>
      <c r="B11" s="116"/>
      <c r="C11" s="116"/>
      <c r="D11" s="116"/>
      <c r="E11" s="116"/>
      <c r="F11" s="116"/>
      <c r="G11" s="116"/>
      <c r="H11" s="116"/>
      <c r="I11" s="116"/>
      <c r="J11" s="116"/>
    </row>
    <row r="12" spans="1:10" x14ac:dyDescent="0.25">
      <c r="A12" s="116"/>
      <c r="B12" s="116"/>
      <c r="C12" s="116"/>
      <c r="D12" s="116"/>
      <c r="E12" s="116"/>
      <c r="F12" s="116"/>
      <c r="G12" s="116"/>
      <c r="H12" s="116"/>
      <c r="I12" s="116"/>
      <c r="J12" s="116"/>
    </row>
    <row r="13" spans="1:10" x14ac:dyDescent="0.25">
      <c r="A13" s="116"/>
      <c r="B13" s="116"/>
      <c r="C13" s="116"/>
      <c r="D13" s="116"/>
      <c r="E13" s="116"/>
      <c r="F13" s="116"/>
      <c r="G13" s="116"/>
      <c r="H13" s="116"/>
      <c r="I13" s="116"/>
      <c r="J13" s="116"/>
    </row>
    <row r="14" spans="1:10" x14ac:dyDescent="0.25">
      <c r="A14" s="116"/>
      <c r="B14" s="116"/>
      <c r="C14" s="116"/>
      <c r="D14" s="116"/>
      <c r="E14" s="116"/>
      <c r="F14" s="116"/>
      <c r="G14" s="116"/>
      <c r="H14" s="116"/>
      <c r="I14" s="116"/>
      <c r="J14" s="116"/>
    </row>
    <row r="15" spans="1:10" x14ac:dyDescent="0.25">
      <c r="A15" s="116"/>
      <c r="B15" s="116"/>
      <c r="C15" s="116"/>
      <c r="D15" s="116"/>
      <c r="E15" s="116"/>
      <c r="F15" s="116"/>
      <c r="G15" s="116"/>
      <c r="H15" s="116"/>
      <c r="I15" s="116"/>
      <c r="J15" s="116"/>
    </row>
    <row r="16" spans="1:10" x14ac:dyDescent="0.25">
      <c r="A16" s="116"/>
      <c r="B16" s="116"/>
      <c r="C16" s="116"/>
      <c r="D16" s="116"/>
      <c r="E16" s="116"/>
      <c r="F16" s="116"/>
      <c r="G16" s="116"/>
      <c r="H16" s="116"/>
      <c r="I16" s="116"/>
      <c r="J16" s="116"/>
    </row>
    <row r="17" spans="1:10" x14ac:dyDescent="0.25">
      <c r="A17" s="116"/>
      <c r="B17" s="116"/>
      <c r="C17" s="116"/>
      <c r="D17" s="116"/>
      <c r="E17" s="116"/>
      <c r="F17" s="116"/>
      <c r="G17" s="116"/>
      <c r="H17" s="116"/>
      <c r="I17" s="116"/>
      <c r="J17" s="116"/>
    </row>
    <row r="18" spans="1:10" x14ac:dyDescent="0.25">
      <c r="A18" s="116"/>
      <c r="B18" s="116"/>
      <c r="C18" s="116"/>
      <c r="D18" s="116"/>
      <c r="E18" s="116"/>
      <c r="F18" s="116"/>
      <c r="G18" s="116"/>
      <c r="H18" s="116"/>
      <c r="I18" s="116"/>
      <c r="J18" s="116"/>
    </row>
    <row r="19" spans="1:10" x14ac:dyDescent="0.25">
      <c r="A19" s="116"/>
      <c r="B19" s="116"/>
      <c r="C19" s="116"/>
      <c r="D19" s="116"/>
      <c r="E19" s="116"/>
      <c r="F19" s="116"/>
      <c r="G19" s="116"/>
      <c r="H19" s="116"/>
      <c r="I19" s="116"/>
      <c r="J19" s="116"/>
    </row>
    <row r="20" spans="1:10" x14ac:dyDescent="0.25">
      <c r="A20" s="116"/>
      <c r="B20" s="116"/>
      <c r="C20" s="116"/>
      <c r="D20" s="116"/>
      <c r="E20" s="116"/>
      <c r="F20" s="116"/>
      <c r="G20" s="116"/>
      <c r="H20" s="116"/>
      <c r="I20" s="116"/>
      <c r="J20" s="116"/>
    </row>
    <row r="21" spans="1:10" x14ac:dyDescent="0.25">
      <c r="A21" s="116"/>
      <c r="B21" s="116"/>
      <c r="C21" s="116"/>
      <c r="D21" s="116"/>
      <c r="E21" s="116"/>
      <c r="F21" s="116"/>
      <c r="G21" s="116"/>
      <c r="H21" s="116"/>
      <c r="I21" s="116"/>
      <c r="J21" s="116"/>
    </row>
    <row r="22" spans="1:10" x14ac:dyDescent="0.25">
      <c r="A22" s="116"/>
      <c r="B22" s="116"/>
      <c r="C22" s="116"/>
      <c r="D22" s="116"/>
      <c r="E22" s="116"/>
      <c r="F22" s="116"/>
      <c r="G22" s="116"/>
      <c r="H22" s="116"/>
      <c r="I22" s="116"/>
      <c r="J22" s="116"/>
    </row>
    <row r="23" spans="1:10" x14ac:dyDescent="0.25">
      <c r="A23" s="116"/>
      <c r="B23" s="116"/>
      <c r="C23" s="116"/>
      <c r="D23" s="116"/>
      <c r="E23" s="116"/>
      <c r="F23" s="116"/>
      <c r="G23" s="116"/>
      <c r="H23" s="116"/>
      <c r="I23" s="116"/>
      <c r="J23" s="116"/>
    </row>
    <row r="24" spans="1:10" x14ac:dyDescent="0.25">
      <c r="A24" s="116"/>
      <c r="B24" s="116"/>
      <c r="C24" s="116"/>
      <c r="D24" s="116"/>
      <c r="E24" s="116"/>
      <c r="F24" s="116"/>
      <c r="G24" s="116"/>
      <c r="H24" s="116"/>
      <c r="I24" s="116"/>
      <c r="J24" s="116"/>
    </row>
    <row r="25" spans="1:10" x14ac:dyDescent="0.25">
      <c r="A25" s="116"/>
      <c r="B25" s="116"/>
      <c r="C25" s="116"/>
      <c r="D25" s="116"/>
      <c r="E25" s="116"/>
      <c r="F25" s="116"/>
      <c r="G25" s="116"/>
      <c r="H25" s="116"/>
      <c r="I25" s="116"/>
      <c r="J25" s="116"/>
    </row>
    <row r="26" spans="1:10" x14ac:dyDescent="0.25">
      <c r="A26" s="116"/>
      <c r="B26" s="116"/>
      <c r="C26" s="116"/>
      <c r="D26" s="116"/>
      <c r="E26" s="116"/>
      <c r="F26" s="116"/>
      <c r="G26" s="116"/>
      <c r="H26" s="116"/>
      <c r="I26" s="116"/>
      <c r="J26" s="116"/>
    </row>
    <row r="27" spans="1:10" x14ac:dyDescent="0.25">
      <c r="A27" s="116"/>
      <c r="B27" s="116"/>
      <c r="C27" s="116"/>
      <c r="D27" s="116"/>
      <c r="E27" s="116"/>
      <c r="F27" s="116"/>
      <c r="G27" s="116"/>
      <c r="H27" s="116"/>
      <c r="I27" s="116"/>
      <c r="J27" s="116"/>
    </row>
    <row r="28" spans="1:10" x14ac:dyDescent="0.25">
      <c r="A28" s="116"/>
      <c r="B28" s="116"/>
      <c r="C28" s="116"/>
      <c r="D28" s="116"/>
      <c r="E28" s="116"/>
      <c r="F28" s="116"/>
      <c r="G28" s="116"/>
      <c r="H28" s="116"/>
      <c r="I28" s="116"/>
      <c r="J28" s="116"/>
    </row>
    <row r="29" spans="1:10" x14ac:dyDescent="0.25">
      <c r="A29" s="116"/>
      <c r="B29" s="116"/>
      <c r="C29" s="116"/>
      <c r="D29" s="116"/>
      <c r="E29" s="116"/>
      <c r="F29" s="116"/>
      <c r="G29" s="116"/>
      <c r="H29" s="116"/>
      <c r="I29" s="116"/>
      <c r="J29" s="116"/>
    </row>
    <row r="30" spans="1:10" x14ac:dyDescent="0.25">
      <c r="A30" s="116"/>
      <c r="B30" s="116"/>
      <c r="C30" s="116"/>
      <c r="D30" s="116"/>
      <c r="E30" s="116"/>
      <c r="F30" s="116"/>
      <c r="G30" s="116"/>
      <c r="H30" s="116"/>
      <c r="I30" s="116"/>
      <c r="J30" s="116"/>
    </row>
    <row r="31" spans="1:10" x14ac:dyDescent="0.25">
      <c r="A31" s="116"/>
      <c r="B31" s="116"/>
      <c r="C31" s="116"/>
      <c r="D31" s="116"/>
      <c r="E31" s="116"/>
      <c r="F31" s="116"/>
      <c r="G31" s="116"/>
      <c r="H31" s="116"/>
      <c r="I31" s="116"/>
      <c r="J31" s="116"/>
    </row>
    <row r="32" spans="1:10" x14ac:dyDescent="0.25">
      <c r="A32" s="116"/>
      <c r="B32" s="116"/>
      <c r="C32" s="116"/>
      <c r="D32" s="116"/>
      <c r="E32" s="116"/>
      <c r="F32" s="116"/>
      <c r="G32" s="116"/>
      <c r="H32" s="116"/>
      <c r="I32" s="116"/>
      <c r="J32" s="116"/>
    </row>
    <row r="33" spans="1:10" x14ac:dyDescent="0.25">
      <c r="A33" s="116"/>
      <c r="B33" s="116"/>
      <c r="C33" s="116"/>
      <c r="D33" s="116"/>
      <c r="E33" s="116"/>
      <c r="F33" s="116"/>
      <c r="G33" s="116"/>
      <c r="H33" s="116"/>
      <c r="I33" s="116"/>
      <c r="J33" s="116"/>
    </row>
    <row r="34" spans="1:10" x14ac:dyDescent="0.25">
      <c r="A34" s="116"/>
      <c r="B34" s="116"/>
      <c r="C34" s="116"/>
      <c r="D34" s="116"/>
      <c r="E34" s="116"/>
      <c r="F34" s="116"/>
      <c r="G34" s="116"/>
      <c r="H34" s="116"/>
      <c r="I34" s="116"/>
      <c r="J34" s="116"/>
    </row>
    <row r="35" spans="1:10" x14ac:dyDescent="0.25">
      <c r="A35" s="116"/>
      <c r="B35" s="116"/>
      <c r="C35" s="116"/>
      <c r="D35" s="116"/>
      <c r="E35" s="116"/>
      <c r="F35" s="116"/>
      <c r="G35" s="116"/>
      <c r="H35" s="116"/>
      <c r="I35" s="116"/>
      <c r="J35" s="116"/>
    </row>
    <row r="36" spans="1:10" x14ac:dyDescent="0.25">
      <c r="A36" s="116"/>
      <c r="B36" s="116"/>
      <c r="C36" s="116"/>
      <c r="D36" s="116"/>
      <c r="E36" s="116"/>
      <c r="F36" s="116"/>
      <c r="G36" s="116"/>
      <c r="H36" s="116"/>
      <c r="I36" s="116"/>
      <c r="J36" s="116"/>
    </row>
    <row r="37" spans="1:10" x14ac:dyDescent="0.25">
      <c r="A37" s="116"/>
      <c r="B37" s="116"/>
      <c r="C37" s="116"/>
      <c r="D37" s="116"/>
      <c r="E37" s="116"/>
      <c r="F37" s="116"/>
      <c r="G37" s="116"/>
      <c r="H37" s="116"/>
      <c r="I37" s="116"/>
      <c r="J37" s="116"/>
    </row>
    <row r="38" spans="1:10" x14ac:dyDescent="0.25">
      <c r="A38" s="116"/>
      <c r="B38" s="116"/>
      <c r="C38" s="116"/>
      <c r="D38" s="116"/>
      <c r="E38" s="116"/>
      <c r="F38" s="116"/>
      <c r="G38" s="116"/>
      <c r="H38" s="116"/>
      <c r="I38" s="116"/>
      <c r="J38" s="116"/>
    </row>
    <row r="39" spans="1:10" x14ac:dyDescent="0.25">
      <c r="A39" s="116"/>
      <c r="B39" s="116"/>
      <c r="C39" s="116"/>
      <c r="D39" s="116"/>
      <c r="E39" s="116"/>
      <c r="F39" s="116"/>
      <c r="G39" s="116"/>
      <c r="H39" s="116"/>
      <c r="I39" s="116"/>
      <c r="J39" s="116"/>
    </row>
    <row r="40" spans="1:10" x14ac:dyDescent="0.25">
      <c r="A40" s="116"/>
      <c r="B40" s="116"/>
      <c r="C40" s="116"/>
      <c r="D40" s="116"/>
      <c r="E40" s="116"/>
      <c r="F40" s="116"/>
      <c r="G40" s="116"/>
      <c r="H40" s="116"/>
      <c r="I40" s="116"/>
      <c r="J40" s="116"/>
    </row>
    <row r="41" spans="1:10" x14ac:dyDescent="0.25">
      <c r="A41" s="116"/>
      <c r="B41" s="116"/>
      <c r="C41" s="116"/>
      <c r="D41" s="116"/>
      <c r="E41" s="116"/>
      <c r="F41" s="116"/>
      <c r="G41" s="116"/>
      <c r="H41" s="116"/>
      <c r="I41" s="116"/>
      <c r="J41" s="116"/>
    </row>
    <row r="42" spans="1:10" x14ac:dyDescent="0.25">
      <c r="A42" s="116"/>
      <c r="B42" s="116"/>
      <c r="C42" s="116"/>
      <c r="D42" s="116"/>
      <c r="E42" s="116"/>
      <c r="F42" s="116"/>
      <c r="G42" s="116"/>
      <c r="H42" s="116"/>
      <c r="I42" s="116"/>
      <c r="J42" s="116"/>
    </row>
    <row r="43" spans="1:10" x14ac:dyDescent="0.25">
      <c r="A43" s="116"/>
      <c r="B43" s="116"/>
      <c r="C43" s="116"/>
      <c r="D43" s="116"/>
      <c r="E43" s="116"/>
      <c r="F43" s="116"/>
      <c r="G43" s="116"/>
      <c r="H43" s="116"/>
      <c r="I43" s="116"/>
      <c r="J43" s="116"/>
    </row>
    <row r="44" spans="1:10" x14ac:dyDescent="0.25">
      <c r="A44" s="116"/>
      <c r="B44" s="116"/>
      <c r="C44" s="116"/>
      <c r="D44" s="116"/>
      <c r="E44" s="116"/>
      <c r="F44" s="116"/>
      <c r="G44" s="116"/>
      <c r="H44" s="116"/>
      <c r="I44" s="116"/>
      <c r="J44" s="116"/>
    </row>
    <row r="45" spans="1:10" x14ac:dyDescent="0.25">
      <c r="A45" s="116"/>
      <c r="B45" s="116"/>
      <c r="C45" s="116"/>
      <c r="D45" s="116"/>
      <c r="E45" s="116"/>
      <c r="F45" s="116"/>
      <c r="G45" s="116"/>
      <c r="H45" s="116"/>
      <c r="I45" s="116"/>
      <c r="J45" s="116"/>
    </row>
    <row r="46" spans="1:10" x14ac:dyDescent="0.25">
      <c r="A46" s="116"/>
      <c r="B46" s="116"/>
      <c r="C46" s="116"/>
      <c r="D46" s="116"/>
      <c r="E46" s="116"/>
      <c r="F46" s="116"/>
      <c r="G46" s="116"/>
      <c r="H46" s="116"/>
      <c r="I46" s="116"/>
      <c r="J46" s="116"/>
    </row>
    <row r="47" spans="1:10" x14ac:dyDescent="0.25">
      <c r="A47" s="116"/>
      <c r="B47" s="116"/>
      <c r="C47" s="116"/>
      <c r="D47" s="116"/>
      <c r="E47" s="116"/>
      <c r="F47" s="116"/>
      <c r="G47" s="116"/>
      <c r="H47" s="116"/>
      <c r="I47" s="116"/>
      <c r="J47" s="116"/>
    </row>
    <row r="48" spans="1:10" x14ac:dyDescent="0.25">
      <c r="A48" s="116"/>
      <c r="B48" s="116"/>
      <c r="C48" s="116"/>
      <c r="D48" s="116"/>
      <c r="E48" s="116"/>
      <c r="F48" s="116"/>
      <c r="G48" s="116"/>
      <c r="H48" s="116"/>
      <c r="I48" s="116"/>
      <c r="J48" s="116"/>
    </row>
    <row r="49" spans="1:10" x14ac:dyDescent="0.25">
      <c r="A49" s="116"/>
      <c r="B49" s="116"/>
      <c r="C49" s="116"/>
      <c r="D49" s="116"/>
      <c r="E49" s="116"/>
      <c r="F49" s="116"/>
      <c r="G49" s="116"/>
      <c r="H49" s="116"/>
      <c r="I49" s="116"/>
      <c r="J49" s="116"/>
    </row>
    <row r="50" spans="1:10" x14ac:dyDescent="0.25">
      <c r="A50" s="116"/>
      <c r="B50" s="116"/>
      <c r="C50" s="116"/>
      <c r="D50" s="116"/>
      <c r="E50" s="116"/>
      <c r="F50" s="116"/>
      <c r="G50" s="116"/>
      <c r="H50" s="116"/>
      <c r="I50" s="116"/>
      <c r="J50" s="116"/>
    </row>
    <row r="51" spans="1:10" x14ac:dyDescent="0.25">
      <c r="A51" s="116"/>
      <c r="B51" s="116"/>
      <c r="C51" s="116"/>
      <c r="D51" s="116"/>
      <c r="E51" s="116"/>
      <c r="F51" s="116"/>
      <c r="G51" s="116"/>
      <c r="H51" s="116"/>
      <c r="I51" s="116"/>
      <c r="J51" s="116"/>
    </row>
    <row r="52" spans="1:10" x14ac:dyDescent="0.25">
      <c r="A52" s="116"/>
      <c r="B52" s="116"/>
      <c r="C52" s="116"/>
      <c r="D52" s="116"/>
      <c r="E52" s="116"/>
      <c r="F52" s="116"/>
      <c r="G52" s="116"/>
      <c r="H52" s="116"/>
      <c r="I52" s="116"/>
      <c r="J52" s="116"/>
    </row>
    <row r="53" spans="1:10" x14ac:dyDescent="0.25">
      <c r="A53" s="116"/>
      <c r="B53" s="116"/>
      <c r="C53" s="116"/>
      <c r="D53" s="116"/>
      <c r="E53" s="116"/>
      <c r="F53" s="116"/>
      <c r="G53" s="116"/>
      <c r="H53" s="116"/>
      <c r="I53" s="116"/>
      <c r="J53" s="116"/>
    </row>
    <row r="54" spans="1:10" x14ac:dyDescent="0.25">
      <c r="A54" s="116"/>
      <c r="B54" s="116"/>
      <c r="C54" s="116"/>
      <c r="D54" s="116"/>
      <c r="E54" s="116"/>
      <c r="F54" s="116"/>
      <c r="G54" s="116"/>
      <c r="H54" s="116"/>
      <c r="I54" s="116"/>
      <c r="J54" s="116"/>
    </row>
    <row r="55" spans="1:10" x14ac:dyDescent="0.25">
      <c r="A55" s="116"/>
      <c r="B55" s="116"/>
      <c r="C55" s="116"/>
      <c r="D55" s="116"/>
      <c r="E55" s="116"/>
      <c r="F55" s="116"/>
      <c r="G55" s="116"/>
      <c r="H55" s="116"/>
      <c r="I55" s="116"/>
      <c r="J55" s="116"/>
    </row>
    <row r="56" spans="1:10" x14ac:dyDescent="0.25">
      <c r="A56" s="116"/>
      <c r="B56" s="116"/>
      <c r="C56" s="116"/>
      <c r="D56" s="116"/>
      <c r="E56" s="116"/>
      <c r="F56" s="116"/>
      <c r="G56" s="116"/>
      <c r="H56" s="116"/>
      <c r="I56" s="116"/>
      <c r="J56" s="116"/>
    </row>
    <row r="57" spans="1:10" x14ac:dyDescent="0.25">
      <c r="A57" s="116"/>
      <c r="B57" s="116"/>
      <c r="C57" s="116"/>
      <c r="D57" s="116"/>
      <c r="E57" s="116"/>
      <c r="F57" s="116"/>
      <c r="G57" s="116"/>
      <c r="H57" s="116"/>
      <c r="I57" s="116"/>
      <c r="J57" s="116"/>
    </row>
    <row r="58" spans="1:10" x14ac:dyDescent="0.25">
      <c r="A58" s="116"/>
      <c r="B58" s="116"/>
      <c r="C58" s="116"/>
      <c r="D58" s="116"/>
      <c r="E58" s="116"/>
      <c r="F58" s="116"/>
      <c r="G58" s="116"/>
      <c r="H58" s="116"/>
      <c r="I58" s="116"/>
      <c r="J58" s="116"/>
    </row>
    <row r="59" spans="1:10" x14ac:dyDescent="0.25">
      <c r="A59" s="116"/>
      <c r="B59" s="116"/>
      <c r="C59" s="116"/>
      <c r="D59" s="116"/>
      <c r="E59" s="116"/>
      <c r="F59" s="116"/>
      <c r="G59" s="116"/>
      <c r="H59" s="116"/>
      <c r="I59" s="116"/>
      <c r="J59" s="116"/>
    </row>
    <row r="60" spans="1:10" x14ac:dyDescent="0.25">
      <c r="A60" s="116"/>
      <c r="B60" s="116"/>
      <c r="C60" s="116"/>
      <c r="D60" s="116"/>
      <c r="E60" s="116"/>
      <c r="F60" s="116"/>
      <c r="G60" s="116"/>
      <c r="H60" s="116"/>
      <c r="I60" s="116"/>
      <c r="J60" s="116"/>
    </row>
    <row r="61" spans="1:10" x14ac:dyDescent="0.25">
      <c r="A61" s="116"/>
      <c r="B61" s="116"/>
      <c r="C61" s="116"/>
      <c r="D61" s="116"/>
      <c r="E61" s="116"/>
      <c r="F61" s="116"/>
      <c r="G61" s="116"/>
      <c r="H61" s="116"/>
      <c r="I61" s="116"/>
      <c r="J61" s="116"/>
    </row>
    <row r="62" spans="1:10" x14ac:dyDescent="0.25">
      <c r="A62" s="116"/>
      <c r="B62" s="116"/>
      <c r="C62" s="116"/>
      <c r="D62" s="116"/>
      <c r="E62" s="116"/>
      <c r="F62" s="116"/>
      <c r="G62" s="116"/>
      <c r="H62" s="116"/>
      <c r="I62" s="116"/>
      <c r="J62" s="116"/>
    </row>
    <row r="63" spans="1:10" x14ac:dyDescent="0.25">
      <c r="A63" s="116"/>
      <c r="B63" s="116"/>
      <c r="C63" s="116"/>
      <c r="D63" s="116"/>
      <c r="E63" s="116"/>
      <c r="F63" s="116"/>
      <c r="G63" s="116"/>
      <c r="H63" s="116"/>
      <c r="I63" s="116"/>
      <c r="J63" s="116"/>
    </row>
    <row r="64" spans="1:10" x14ac:dyDescent="0.25">
      <c r="A64" s="116"/>
      <c r="B64" s="116"/>
      <c r="C64" s="116"/>
      <c r="D64" s="116"/>
      <c r="E64" s="116"/>
      <c r="F64" s="116"/>
      <c r="G64" s="116"/>
      <c r="H64" s="116"/>
      <c r="I64" s="116"/>
      <c r="J64" s="116"/>
    </row>
    <row r="65" spans="1:10" x14ac:dyDescent="0.25">
      <c r="A65" s="116"/>
      <c r="B65" s="116"/>
      <c r="C65" s="116"/>
      <c r="D65" s="116"/>
      <c r="E65" s="116"/>
      <c r="F65" s="116"/>
      <c r="G65" s="116"/>
      <c r="H65" s="116"/>
      <c r="I65" s="116"/>
      <c r="J65" s="116"/>
    </row>
    <row r="66" spans="1:10" x14ac:dyDescent="0.25">
      <c r="A66" s="116"/>
      <c r="B66" s="116"/>
      <c r="C66" s="116"/>
      <c r="D66" s="116"/>
      <c r="E66" s="116"/>
      <c r="F66" s="116"/>
      <c r="G66" s="116"/>
      <c r="H66" s="116"/>
      <c r="I66" s="116"/>
      <c r="J66" s="116"/>
    </row>
    <row r="67" spans="1:10" x14ac:dyDescent="0.25">
      <c r="A67" s="116"/>
      <c r="B67" s="116"/>
      <c r="C67" s="116"/>
      <c r="D67" s="116"/>
      <c r="E67" s="116"/>
      <c r="F67" s="116"/>
      <c r="G67" s="116"/>
      <c r="H67" s="116"/>
      <c r="I67" s="116"/>
      <c r="J67" s="116"/>
    </row>
    <row r="68" spans="1:10" x14ac:dyDescent="0.25">
      <c r="A68" s="116"/>
      <c r="B68" s="116"/>
      <c r="C68" s="116"/>
      <c r="D68" s="116"/>
      <c r="E68" s="116"/>
      <c r="F68" s="116"/>
      <c r="G68" s="116"/>
      <c r="H68" s="116"/>
      <c r="I68" s="116"/>
      <c r="J68" s="116"/>
    </row>
    <row r="69" spans="1:10" x14ac:dyDescent="0.25">
      <c r="A69" s="116"/>
      <c r="B69" s="116"/>
      <c r="C69" s="116"/>
      <c r="D69" s="116"/>
      <c r="E69" s="116"/>
      <c r="F69" s="116"/>
      <c r="G69" s="116"/>
      <c r="H69" s="116"/>
      <c r="I69" s="116"/>
      <c r="J69" s="116"/>
    </row>
    <row r="70" spans="1:10" x14ac:dyDescent="0.25">
      <c r="A70" s="116"/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x14ac:dyDescent="0.25">
      <c r="A71" s="116"/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x14ac:dyDescent="0.25">
      <c r="A72" s="116"/>
      <c r="B72" s="116"/>
      <c r="C72" s="116"/>
      <c r="D72" s="116"/>
      <c r="E72" s="116"/>
      <c r="F72" s="116"/>
      <c r="G72" s="116"/>
      <c r="H72" s="116"/>
      <c r="I72" s="116"/>
      <c r="J72" s="116"/>
    </row>
    <row r="73" spans="1:10" x14ac:dyDescent="0.25">
      <c r="A73" s="116"/>
      <c r="B73" s="116"/>
      <c r="C73" s="116"/>
      <c r="D73" s="116"/>
      <c r="E73" s="116"/>
      <c r="F73" s="116"/>
      <c r="G73" s="116"/>
      <c r="H73" s="116"/>
      <c r="I73" s="116"/>
      <c r="J73" s="116"/>
    </row>
    <row r="74" spans="1:10" x14ac:dyDescent="0.25">
      <c r="A74" s="116"/>
      <c r="B74" s="116"/>
      <c r="C74" s="116"/>
      <c r="D74" s="116"/>
      <c r="E74" s="116"/>
      <c r="F74" s="116"/>
      <c r="G74" s="116"/>
      <c r="H74" s="116"/>
      <c r="I74" s="116"/>
      <c r="J74" s="116"/>
    </row>
    <row r="75" spans="1:10" x14ac:dyDescent="0.25">
      <c r="A75" s="116"/>
      <c r="B75" s="116"/>
      <c r="C75" s="116"/>
      <c r="D75" s="116"/>
      <c r="E75" s="116"/>
      <c r="F75" s="116"/>
      <c r="G75" s="116"/>
      <c r="H75" s="116"/>
      <c r="I75" s="116"/>
      <c r="J75" s="116"/>
    </row>
    <row r="76" spans="1:10" x14ac:dyDescent="0.25">
      <c r="A76" s="116"/>
      <c r="B76" s="116"/>
      <c r="C76" s="116"/>
      <c r="D76" s="116"/>
      <c r="E76" s="116"/>
      <c r="F76" s="116"/>
      <c r="G76" s="116"/>
      <c r="H76" s="116"/>
      <c r="I76" s="116"/>
      <c r="J76" s="116"/>
    </row>
    <row r="77" spans="1:10" x14ac:dyDescent="0.25">
      <c r="A77" s="116"/>
      <c r="B77" s="116"/>
      <c r="C77" s="116"/>
      <c r="D77" s="116"/>
      <c r="E77" s="116"/>
      <c r="F77" s="116"/>
      <c r="G77" s="116"/>
      <c r="H77" s="116"/>
      <c r="I77" s="116"/>
      <c r="J77" s="116"/>
    </row>
    <row r="78" spans="1:10" x14ac:dyDescent="0.25">
      <c r="A78" s="116"/>
      <c r="B78" s="116"/>
      <c r="C78" s="116"/>
      <c r="D78" s="116"/>
      <c r="E78" s="116"/>
      <c r="F78" s="116"/>
      <c r="G78" s="116"/>
      <c r="H78" s="116"/>
      <c r="I78" s="116"/>
      <c r="J78" s="116"/>
    </row>
    <row r="79" spans="1:10" x14ac:dyDescent="0.25">
      <c r="A79" s="116"/>
      <c r="B79" s="116"/>
      <c r="C79" s="116"/>
      <c r="D79" s="116"/>
      <c r="E79" s="116"/>
      <c r="F79" s="116"/>
      <c r="G79" s="116"/>
      <c r="H79" s="116"/>
      <c r="I79" s="116"/>
      <c r="J79" s="116"/>
    </row>
    <row r="80" spans="1:10" x14ac:dyDescent="0.25">
      <c r="A80" s="116"/>
      <c r="B80" s="116"/>
      <c r="C80" s="116"/>
      <c r="D80" s="116"/>
      <c r="E80" s="116"/>
      <c r="F80" s="116"/>
      <c r="G80" s="116"/>
      <c r="H80" s="116"/>
      <c r="I80" s="116"/>
      <c r="J80" s="116"/>
    </row>
    <row r="81" spans="1:10" x14ac:dyDescent="0.25">
      <c r="A81" s="116"/>
      <c r="B81" s="116"/>
      <c r="C81" s="116"/>
      <c r="D81" s="116"/>
      <c r="E81" s="116"/>
      <c r="F81" s="116"/>
      <c r="G81" s="116"/>
      <c r="H81" s="116"/>
      <c r="I81" s="116"/>
      <c r="J81" s="116"/>
    </row>
    <row r="82" spans="1:10" x14ac:dyDescent="0.25">
      <c r="A82" s="116"/>
      <c r="B82" s="116"/>
      <c r="C82" s="116"/>
      <c r="D82" s="116"/>
      <c r="E82" s="116"/>
      <c r="F82" s="116"/>
      <c r="G82" s="116"/>
      <c r="H82" s="116"/>
      <c r="I82" s="116"/>
      <c r="J82" s="116"/>
    </row>
    <row r="83" spans="1:10" x14ac:dyDescent="0.25">
      <c r="A83" s="116"/>
      <c r="B83" s="116"/>
      <c r="C83" s="116"/>
      <c r="D83" s="116"/>
      <c r="E83" s="116"/>
      <c r="F83" s="116"/>
      <c r="G83" s="116"/>
      <c r="H83" s="116"/>
      <c r="I83" s="116"/>
      <c r="J83" s="116"/>
    </row>
    <row r="84" spans="1:10" x14ac:dyDescent="0.25">
      <c r="A84" s="116"/>
      <c r="B84" s="116"/>
      <c r="C84" s="116"/>
      <c r="D84" s="116"/>
      <c r="E84" s="116"/>
      <c r="F84" s="116"/>
      <c r="G84" s="116"/>
      <c r="H84" s="116"/>
      <c r="I84" s="116"/>
      <c r="J84" s="116"/>
    </row>
    <row r="85" spans="1:10" x14ac:dyDescent="0.25">
      <c r="A85" s="116"/>
      <c r="B85" s="116"/>
      <c r="C85" s="116"/>
      <c r="D85" s="116"/>
      <c r="E85" s="116"/>
      <c r="F85" s="116"/>
      <c r="G85" s="116"/>
      <c r="H85" s="116"/>
      <c r="I85" s="116"/>
      <c r="J85" s="116"/>
    </row>
    <row r="86" spans="1:10" x14ac:dyDescent="0.25">
      <c r="A86" s="116"/>
      <c r="B86" s="116"/>
      <c r="C86" s="116"/>
      <c r="D86" s="116"/>
      <c r="E86" s="116"/>
      <c r="F86" s="116"/>
      <c r="G86" s="116"/>
      <c r="H86" s="116"/>
      <c r="I86" s="116"/>
      <c r="J86" s="116"/>
    </row>
    <row r="87" spans="1:10" x14ac:dyDescent="0.25">
      <c r="A87" s="116"/>
      <c r="B87" s="116"/>
      <c r="C87" s="116"/>
      <c r="D87" s="116"/>
      <c r="E87" s="116"/>
      <c r="F87" s="116"/>
      <c r="G87" s="116"/>
      <c r="H87" s="116"/>
      <c r="I87" s="116"/>
      <c r="J87" s="116"/>
    </row>
    <row r="88" spans="1:10" x14ac:dyDescent="0.25">
      <c r="A88" s="116"/>
      <c r="B88" s="116"/>
      <c r="C88" s="116"/>
      <c r="D88" s="116"/>
      <c r="E88" s="116"/>
      <c r="F88" s="116"/>
      <c r="G88" s="116"/>
      <c r="H88" s="116"/>
      <c r="I88" s="116"/>
      <c r="J88" s="116"/>
    </row>
    <row r="89" spans="1:10" x14ac:dyDescent="0.25">
      <c r="A89" s="116"/>
      <c r="B89" s="116"/>
      <c r="C89" s="116"/>
      <c r="D89" s="116"/>
      <c r="E89" s="116"/>
      <c r="F89" s="116"/>
      <c r="G89" s="116"/>
      <c r="H89" s="116"/>
      <c r="I89" s="116"/>
      <c r="J89" s="116"/>
    </row>
    <row r="90" spans="1:10" x14ac:dyDescent="0.25">
      <c r="A90" s="116"/>
      <c r="B90" s="116"/>
      <c r="C90" s="116"/>
      <c r="D90" s="116"/>
      <c r="E90" s="116"/>
      <c r="F90" s="116"/>
      <c r="G90" s="116"/>
      <c r="H90" s="116"/>
      <c r="I90" s="116"/>
      <c r="J90" s="116"/>
    </row>
    <row r="91" spans="1:10" x14ac:dyDescent="0.25">
      <c r="A91" s="116"/>
      <c r="B91" s="116"/>
      <c r="C91" s="116"/>
      <c r="D91" s="116"/>
      <c r="E91" s="116"/>
      <c r="F91" s="116"/>
      <c r="G91" s="116"/>
      <c r="H91" s="116"/>
      <c r="I91" s="116"/>
      <c r="J91" s="116"/>
    </row>
    <row r="92" spans="1:10" x14ac:dyDescent="0.25">
      <c r="A92" s="116"/>
      <c r="B92" s="116"/>
      <c r="C92" s="116"/>
      <c r="D92" s="116"/>
      <c r="E92" s="116"/>
      <c r="F92" s="116"/>
      <c r="G92" s="116"/>
      <c r="H92" s="116"/>
      <c r="I92" s="116"/>
      <c r="J92" s="116"/>
    </row>
    <row r="93" spans="1:10" x14ac:dyDescent="0.25">
      <c r="A93" s="116"/>
      <c r="B93" s="116"/>
      <c r="C93" s="116"/>
      <c r="D93" s="116"/>
      <c r="E93" s="116"/>
      <c r="F93" s="116"/>
      <c r="G93" s="116"/>
      <c r="H93" s="116"/>
      <c r="I93" s="116"/>
      <c r="J93" s="116"/>
    </row>
    <row r="94" spans="1:10" x14ac:dyDescent="0.25">
      <c r="A94" s="116"/>
      <c r="B94" s="116"/>
      <c r="C94" s="116"/>
      <c r="D94" s="116"/>
      <c r="E94" s="116"/>
      <c r="F94" s="116"/>
      <c r="G94" s="116"/>
      <c r="H94" s="116"/>
      <c r="I94" s="116"/>
      <c r="J94" s="116"/>
    </row>
    <row r="95" spans="1:10" x14ac:dyDescent="0.25">
      <c r="A95" s="116"/>
      <c r="B95" s="116"/>
      <c r="C95" s="116"/>
      <c r="D95" s="116"/>
      <c r="E95" s="116"/>
      <c r="F95" s="116"/>
      <c r="G95" s="116"/>
      <c r="H95" s="116"/>
      <c r="I95" s="116"/>
      <c r="J95" s="116"/>
    </row>
    <row r="96" spans="1:10" x14ac:dyDescent="0.25">
      <c r="A96" s="116"/>
      <c r="B96" s="116"/>
      <c r="C96" s="116"/>
      <c r="D96" s="116"/>
      <c r="E96" s="116"/>
      <c r="F96" s="116"/>
      <c r="G96" s="116"/>
      <c r="H96" s="116"/>
      <c r="I96" s="116"/>
      <c r="J96" s="116"/>
    </row>
    <row r="97" spans="1:10" x14ac:dyDescent="0.25">
      <c r="A97" s="116"/>
      <c r="B97" s="116"/>
      <c r="C97" s="116"/>
      <c r="D97" s="116"/>
      <c r="E97" s="116"/>
      <c r="F97" s="116"/>
      <c r="G97" s="116"/>
      <c r="H97" s="116"/>
      <c r="I97" s="116"/>
      <c r="J97" s="116"/>
    </row>
    <row r="98" spans="1:10" x14ac:dyDescent="0.25">
      <c r="A98" s="116"/>
      <c r="B98" s="116"/>
      <c r="C98" s="116"/>
      <c r="D98" s="116"/>
      <c r="E98" s="116"/>
      <c r="F98" s="116"/>
      <c r="G98" s="116"/>
      <c r="H98" s="116"/>
      <c r="I98" s="116"/>
      <c r="J98" s="116"/>
    </row>
    <row r="99" spans="1:10" x14ac:dyDescent="0.25">
      <c r="A99" s="116"/>
      <c r="B99" s="116"/>
      <c r="C99" s="116"/>
      <c r="D99" s="116"/>
      <c r="E99" s="116"/>
      <c r="F99" s="116"/>
      <c r="G99" s="116"/>
      <c r="H99" s="116"/>
      <c r="I99" s="116"/>
      <c r="J99" s="116"/>
    </row>
    <row r="100" spans="1:10" x14ac:dyDescent="0.25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</row>
    <row r="101" spans="1:10" x14ac:dyDescent="0.25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</row>
    <row r="102" spans="1:10" x14ac:dyDescent="0.25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</row>
    <row r="103" spans="1:10" x14ac:dyDescent="0.25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</row>
    <row r="104" spans="1:10" x14ac:dyDescent="0.25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</row>
    <row r="105" spans="1:10" x14ac:dyDescent="0.25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</row>
    <row r="106" spans="1:10" x14ac:dyDescent="0.25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</row>
    <row r="107" spans="1:10" x14ac:dyDescent="0.25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</row>
    <row r="108" spans="1:10" x14ac:dyDescent="0.25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</row>
    <row r="109" spans="1:10" x14ac:dyDescent="0.25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</row>
    <row r="110" spans="1:10" x14ac:dyDescent="0.25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</row>
    <row r="111" spans="1:10" x14ac:dyDescent="0.25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</row>
    <row r="112" spans="1:10" x14ac:dyDescent="0.25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</row>
    <row r="113" spans="1:10" x14ac:dyDescent="0.25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</row>
    <row r="114" spans="1:10" x14ac:dyDescent="0.25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</row>
    <row r="115" spans="1:10" x14ac:dyDescent="0.25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</row>
    <row r="116" spans="1:10" x14ac:dyDescent="0.25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</row>
    <row r="117" spans="1:10" x14ac:dyDescent="0.25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</row>
    <row r="118" spans="1:10" x14ac:dyDescent="0.25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</row>
    <row r="119" spans="1:10" x14ac:dyDescent="0.25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</row>
    <row r="120" spans="1:10" x14ac:dyDescent="0.25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</row>
    <row r="121" spans="1:10" x14ac:dyDescent="0.25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</row>
    <row r="122" spans="1:10" x14ac:dyDescent="0.25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</row>
    <row r="123" spans="1:10" x14ac:dyDescent="0.25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</row>
    <row r="124" spans="1:10" x14ac:dyDescent="0.25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</row>
    <row r="125" spans="1:10" x14ac:dyDescent="0.25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</row>
    <row r="126" spans="1:10" x14ac:dyDescent="0.25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</row>
    <row r="127" spans="1:10" x14ac:dyDescent="0.25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</row>
    <row r="128" spans="1:10" x14ac:dyDescent="0.25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</row>
    <row r="129" spans="1:10" x14ac:dyDescent="0.25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</row>
    <row r="130" spans="1:10" x14ac:dyDescent="0.25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</row>
    <row r="131" spans="1:10" x14ac:dyDescent="0.25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</row>
    <row r="132" spans="1:10" x14ac:dyDescent="0.25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</row>
    <row r="133" spans="1:10" x14ac:dyDescent="0.25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</row>
    <row r="134" spans="1:10" x14ac:dyDescent="0.25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</row>
    <row r="135" spans="1:10" x14ac:dyDescent="0.25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</row>
    <row r="136" spans="1:10" x14ac:dyDescent="0.25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</row>
    <row r="137" spans="1:10" x14ac:dyDescent="0.25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</row>
    <row r="138" spans="1:10" x14ac:dyDescent="0.25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</row>
    <row r="139" spans="1:10" x14ac:dyDescent="0.25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</row>
    <row r="140" spans="1:10" x14ac:dyDescent="0.25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</row>
    <row r="141" spans="1:10" x14ac:dyDescent="0.25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</row>
    <row r="142" spans="1:10" x14ac:dyDescent="0.25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</row>
    <row r="143" spans="1:10" x14ac:dyDescent="0.25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</row>
    <row r="144" spans="1:10" x14ac:dyDescent="0.25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</row>
    <row r="145" spans="1:10" x14ac:dyDescent="0.25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</row>
    <row r="146" spans="1:10" x14ac:dyDescent="0.25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</row>
    <row r="147" spans="1:10" x14ac:dyDescent="0.25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</row>
    <row r="148" spans="1:10" x14ac:dyDescent="0.25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</row>
    <row r="149" spans="1:10" x14ac:dyDescent="0.25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</row>
    <row r="150" spans="1:10" x14ac:dyDescent="0.25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</row>
    <row r="151" spans="1:10" x14ac:dyDescent="0.25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</row>
    <row r="152" spans="1:10" x14ac:dyDescent="0.25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</row>
    <row r="153" spans="1:10" x14ac:dyDescent="0.25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</row>
    <row r="154" spans="1:10" x14ac:dyDescent="0.25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</row>
    <row r="155" spans="1:10" x14ac:dyDescent="0.25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</row>
    <row r="156" spans="1:10" x14ac:dyDescent="0.25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</row>
    <row r="157" spans="1:10" x14ac:dyDescent="0.25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</row>
    <row r="158" spans="1:10" x14ac:dyDescent="0.25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</row>
    <row r="159" spans="1:10" x14ac:dyDescent="0.25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</row>
    <row r="160" spans="1:10" x14ac:dyDescent="0.25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</row>
    <row r="161" spans="1:10" x14ac:dyDescent="0.25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</row>
    <row r="162" spans="1:10" x14ac:dyDescent="0.25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</row>
    <row r="163" spans="1:10" x14ac:dyDescent="0.25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</row>
    <row r="164" spans="1:10" x14ac:dyDescent="0.25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</row>
    <row r="165" spans="1:10" x14ac:dyDescent="0.25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</row>
    <row r="166" spans="1:10" x14ac:dyDescent="0.25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</row>
    <row r="167" spans="1:10" x14ac:dyDescent="0.25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</row>
    <row r="168" spans="1:10" x14ac:dyDescent="0.25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</row>
    <row r="169" spans="1:10" x14ac:dyDescent="0.25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</row>
    <row r="170" spans="1:10" x14ac:dyDescent="0.25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</row>
    <row r="171" spans="1:10" x14ac:dyDescent="0.25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</row>
    <row r="172" spans="1:10" x14ac:dyDescent="0.25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</row>
    <row r="173" spans="1:10" x14ac:dyDescent="0.25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</row>
    <row r="174" spans="1:10" x14ac:dyDescent="0.25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</row>
    <row r="175" spans="1:10" x14ac:dyDescent="0.25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</row>
    <row r="176" spans="1:10" x14ac:dyDescent="0.25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</row>
    <row r="177" spans="1:10" x14ac:dyDescent="0.25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</row>
    <row r="178" spans="1:10" x14ac:dyDescent="0.25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</row>
    <row r="179" spans="1:10" x14ac:dyDescent="0.25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</row>
    <row r="180" spans="1:10" x14ac:dyDescent="0.25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</row>
    <row r="181" spans="1:10" x14ac:dyDescent="0.25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</row>
    <row r="182" spans="1:10" x14ac:dyDescent="0.25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</row>
    <row r="183" spans="1:10" x14ac:dyDescent="0.25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</row>
    <row r="184" spans="1:10" x14ac:dyDescent="0.25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</row>
    <row r="185" spans="1:10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</row>
    <row r="186" spans="1:10" x14ac:dyDescent="0.25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</row>
    <row r="187" spans="1:10" x14ac:dyDescent="0.25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</row>
    <row r="188" spans="1:10" x14ac:dyDescent="0.25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</row>
    <row r="189" spans="1:10" x14ac:dyDescent="0.25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</row>
  </sheetData>
  <mergeCells count="1">
    <mergeCell ref="B2:D2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9" sqref="G19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7" sqref="G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DS BAN SP THANG 9</vt:lpstr>
      <vt:lpstr>HOA HỒNG ĐẶT HẸN MỤN</vt:lpstr>
      <vt:lpstr>HOA HỒNG LĂN KIM</vt:lpstr>
      <vt:lpstr>BẢNG TỔNG KẾT </vt:lpstr>
      <vt:lpstr>Sheet4</vt:lpstr>
      <vt:lpstr>Sheet5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 Duong</dc:creator>
  <cp:lastModifiedBy>LTLOI</cp:lastModifiedBy>
  <dcterms:created xsi:type="dcterms:W3CDTF">2015-04-01T09:36:15Z</dcterms:created>
  <dcterms:modified xsi:type="dcterms:W3CDTF">2015-10-07T04:07:34Z</dcterms:modified>
</cp:coreProperties>
</file>